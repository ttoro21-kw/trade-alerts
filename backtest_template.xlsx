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hresholds" sheetId="2" state="visible" r:id="rId4"/>
    <sheet name="Sensitivity" sheetId="3" state="visible" r:id="rId5"/>
    <sheet name="Tuning_Guide" sheetId="4" state="visible" r:id="rId6"/>
    <sheet name="Volatility_Profile" sheetId="5" state="visible" r:id="rId7"/>
    <sheet name="Summary_Templa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<sst xmlns="http://schemas.openxmlformats.org/spreadsheetml/2006/main" count="218" uniqueCount="166">
  <si>
    <t xml:space="preserve">백테스트 모델 — 사용 가이드</t>
  </si>
  <si>
    <t xml:space="preserve">이 워크북은 6개 종목(AMAT, LRCX, ASML, NVDA, SOXL, TQQQ)의 추격손절/추격매수 임계값을</t>
  </si>
  <si>
    <t xml:space="preserve">백테스트한 결과를 담기 위한 템플릿입니다. 실제 결과는 backtest/backtest.py를 실행해야 채워집니다.</t>
  </si>
  <si>
    <t xml:space="preserve">실행 방법:</t>
  </si>
  <si>
    <t xml:space="preserve">  1. cd trade-alerts/backtest</t>
  </si>
  <si>
    <t xml:space="preserve">  2. pip install yfinance pandas numpy openpyxl</t>
  </si>
  <si>
    <t xml:space="preserve">  3. python backtest.py --period 2y --output results_2y.xlsx</t>
  </si>
  <si>
    <r>
      <rPr>
        <sz val="11"/>
        <color rgb="FF000000"/>
        <rFont val="Arial"/>
        <family val="0"/>
        <charset val="1"/>
      </rPr>
      <t xml:space="preserve">  4. </t>
    </r>
    <r>
      <rPr>
        <sz val="11"/>
        <color rgb="FF000000"/>
        <rFont val="Noto Sans CJK SC"/>
        <family val="2"/>
      </rPr>
      <t xml:space="preserve">결과 파일을 이 워크북과 비교</t>
    </r>
  </si>
  <si>
    <t xml:space="preserve">워크북 구조:</t>
  </si>
  <si>
    <r>
      <rPr>
        <sz val="11"/>
        <color rgb="FF000000"/>
        <rFont val="Arial"/>
        <family val="0"/>
        <charset val="1"/>
      </rPr>
      <t xml:space="preserve">  • Thresholds: </t>
    </r>
    <r>
      <rPr>
        <sz val="11"/>
        <color rgb="FF000000"/>
        <rFont val="Noto Sans CJK SC"/>
        <family val="2"/>
      </rPr>
      <t xml:space="preserve">종목별 임계값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수정 가능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노란 셀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</si>
  <si>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  • Sensitivity: </t>
    </r>
    <r>
      <rPr>
        <sz val="11"/>
        <color rgb="FF000000"/>
        <rFont val="Noto Sans CJK SC"/>
        <family val="2"/>
      </rPr>
      <t xml:space="preserve">임계값을 </t>
    </r>
    <r>
      <rPr>
        <sz val="11"/>
        <color rgb="FF000000"/>
        <rFont val="Arial"/>
        <family val="0"/>
        <charset val="1"/>
      </rPr>
      <t xml:space="preserve">±20% </t>
    </r>
    <r>
      <rPr>
        <sz val="11"/>
        <color rgb="FF000000"/>
        <rFont val="Noto Sans CJK SC"/>
        <family val="2"/>
      </rPr>
      <t xml:space="preserve">흔들면서 결과가 어떻게 달라지는지</t>
    </r>
  </si>
  <si>
    <r>
      <rPr>
        <sz val="11"/>
        <color rgb="FF000000"/>
        <rFont val="Arial"/>
        <family val="0"/>
        <charset val="1"/>
      </rPr>
      <t xml:space="preserve">  • Tuning_Guide: </t>
    </r>
    <r>
      <rPr>
        <sz val="11"/>
        <color rgb="FF000000"/>
        <rFont val="Noto Sans CJK SC"/>
        <family val="2"/>
      </rPr>
      <t xml:space="preserve">결과 해석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Noto Sans CJK SC"/>
        <family val="2"/>
      </rPr>
      <t xml:space="preserve">조정 방향 가이드</t>
    </r>
  </si>
  <si>
    <r>
      <rPr>
        <sz val="11"/>
        <color rgb="FF000000"/>
        <rFont val="Arial"/>
        <family val="0"/>
        <charset val="1"/>
      </rPr>
      <t xml:space="preserve">  • Volatility_Profile: </t>
    </r>
    <r>
      <rPr>
        <sz val="11"/>
        <color rgb="FF000000"/>
        <rFont val="Noto Sans CJK SC"/>
        <family val="2"/>
      </rPr>
      <t xml:space="preserve">종목별 </t>
    </r>
    <r>
      <rPr>
        <sz val="11"/>
        <color rgb="FF000000"/>
        <rFont val="Arial"/>
        <family val="0"/>
        <charset val="1"/>
      </rPr>
      <t xml:space="preserve">historical </t>
    </r>
    <r>
      <rPr>
        <sz val="11"/>
        <color rgb="FF000000"/>
        <rFont val="Noto Sans CJK SC"/>
        <family val="2"/>
      </rPr>
      <t xml:space="preserve">변동성 프로파일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</si>
  <si>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  • Summary_Template: backtest </t>
    </r>
    <r>
      <rPr>
        <sz val="11"/>
        <color rgb="FF000000"/>
        <rFont val="Noto Sans CJK SC"/>
        <family val="2"/>
      </rPr>
      <t xml:space="preserve">결과 입력용 </t>
    </r>
    <r>
      <rPr>
        <sz val="11"/>
        <color rgb="FF000000"/>
        <rFont val="Arial"/>
        <family val="0"/>
        <charset val="1"/>
      </rPr>
      <t xml:space="preserve">(results_*.xlsx </t>
    </r>
    <r>
      <rPr>
        <sz val="11"/>
        <color rgb="FF000000"/>
        <rFont val="Noto Sans CJK SC"/>
        <family val="2"/>
      </rPr>
      <t xml:space="preserve">의 </t>
    </r>
    <r>
      <rPr>
        <sz val="11"/>
        <color rgb="FF000000"/>
        <rFont val="Arial"/>
        <family val="0"/>
        <charset val="1"/>
      </rPr>
      <t xml:space="preserve">Summary </t>
    </r>
    <r>
      <rPr>
        <sz val="11"/>
        <color rgb="FF000000"/>
        <rFont val="Noto Sans CJK SC"/>
        <family val="2"/>
      </rPr>
      <t xml:space="preserve">탭 복사</t>
    </r>
    <r>
      <rPr>
        <sz val="11"/>
        <color rgb="FF000000"/>
        <rFont val="Arial"/>
        <family val="0"/>
        <charset val="1"/>
      </rPr>
      <t xml:space="preserve">)</t>
    </r>
  </si>
  <si>
    <t xml:space="preserve">색상 규칙 (industry-standard financial modeling):</t>
  </si>
  <si>
    <t xml:space="preserve">  • 파란 글씨: hardcoded input (사용자가 변경)</t>
  </si>
  <si>
    <t xml:space="preserve">  • 검정 글씨: formula 계산값</t>
  </si>
  <si>
    <t xml:space="preserve">  • 노란 배경: 핵심 가정 / 조정 셀</t>
  </si>
  <si>
    <t xml:space="preserve">주의사항:</t>
  </si>
  <si>
    <t xml:space="preserve">  • 백테스트는 과거 성능이며 미래 수익을 보장하지 않습니다.</t>
  </si>
  <si>
    <r>
      <rPr>
        <sz val="11"/>
        <color rgb="FF000000"/>
        <rFont val="Arial"/>
        <family val="0"/>
        <charset val="1"/>
      </rPr>
      <t xml:space="preserve">  • Slippage / </t>
    </r>
    <r>
      <rPr>
        <sz val="11"/>
        <color rgb="FF000000"/>
        <rFont val="Noto Sans CJK SC"/>
        <family val="2"/>
      </rPr>
      <t xml:space="preserve">수수료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세금은 모델에 포함되지 않았습니다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보수적 해석 필요</t>
    </r>
    <r>
      <rPr>
        <sz val="11"/>
        <color rgb="FF000000"/>
        <rFont val="Arial"/>
        <family val="0"/>
        <charset val="1"/>
      </rPr>
      <t xml:space="preserve">).</t>
    </r>
  </si>
  <si>
    <t xml:space="preserve">  • 실제 entry/exit는 시뮬레이션과 차이가 있을 수 있습니다 (장중 시점, 호가 등).</t>
  </si>
  <si>
    <t xml:space="preserve">종목별 임계값 (수정 후 backtest.py에 반영하려면 src/thresholds.py 동기화)</t>
  </si>
  <si>
    <t xml:space="preserve">Ticker</t>
  </si>
  <si>
    <t xml:space="preserve">Category</t>
  </si>
  <si>
    <r>
      <rPr>
        <b val="true"/>
        <sz val="11"/>
        <color rgb="FFFFFFFF"/>
        <rFont val="Arial"/>
        <family val="0"/>
        <charset val="1"/>
      </rPr>
      <t xml:space="preserve">MA20 slope/</t>
    </r>
    <r>
      <rPr>
        <b val="true"/>
        <sz val="11"/>
        <color rgb="FFFFFFFF"/>
        <rFont val="Noto Sans CJK SC"/>
        <family val="2"/>
      </rPr>
      <t xml:space="preserve">주</t>
    </r>
  </si>
  <si>
    <r>
      <rPr>
        <b val="true"/>
        <sz val="11"/>
        <color rgb="FFFFFFFF"/>
        <rFont val="Arial"/>
        <family val="0"/>
        <charset val="1"/>
      </rPr>
      <t xml:space="preserve">Cons. </t>
    </r>
    <r>
      <rPr>
        <b val="true"/>
        <sz val="11"/>
        <color rgb="FFFFFFFF"/>
        <rFont val="Noto Sans CJK SC"/>
        <family val="2"/>
      </rPr>
      <t xml:space="preserve">밴드</t>
    </r>
  </si>
  <si>
    <r>
      <rPr>
        <b val="true"/>
        <sz val="11"/>
        <color rgb="FFFFFFFF"/>
        <rFont val="Arial"/>
        <family val="0"/>
        <charset val="1"/>
      </rPr>
      <t xml:space="preserve">Stop 1</t>
    </r>
    <r>
      <rPr>
        <b val="true"/>
        <sz val="11"/>
        <color rgb="FFFFFFFF"/>
        <rFont val="Noto Sans CJK SC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</si>
  <si>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Stop 2</t>
    </r>
    <r>
      <rPr>
        <b val="true"/>
        <sz val="11"/>
        <color rgb="FFFFFFFF"/>
        <rFont val="Noto Sans CJK SC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</si>
  <si>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Stop 3</t>
    </r>
    <r>
      <rPr>
        <b val="true"/>
        <sz val="11"/>
        <color rgb="FFFFFFFF"/>
        <rFont val="Noto Sans CJK SC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</si>
  <si>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Buy 1</t>
    </r>
    <r>
      <rPr>
        <b val="true"/>
        <sz val="11"/>
        <color rgb="FFFFFFFF"/>
        <rFont val="Noto Sans CJK SC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</si>
  <si>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Buy 2</t>
    </r>
    <r>
      <rPr>
        <b val="true"/>
        <sz val="11"/>
        <color rgb="FFFFFFFF"/>
        <rFont val="Noto Sans CJK SC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</si>
  <si>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Buy 3</t>
    </r>
    <r>
      <rPr>
        <b val="true"/>
        <sz val="11"/>
        <color rgb="FFFFFFFF"/>
        <rFont val="Noto Sans CJK SC"/>
        <family val="2"/>
      </rPr>
      <t xml:space="preserve">차</t>
    </r>
  </si>
  <si>
    <r>
      <rPr>
        <b val="true"/>
        <sz val="11"/>
        <color rgb="FFFFFFFF"/>
        <rFont val="Arial"/>
        <family val="0"/>
        <charset val="1"/>
      </rPr>
      <t xml:space="preserve">ATR </t>
    </r>
    <r>
      <rPr>
        <b val="true"/>
        <sz val="11"/>
        <color rgb="FFFFFFFF"/>
        <rFont val="Noto Sans CJK SC"/>
        <family val="2"/>
      </rPr>
      <t xml:space="preserve">배수</t>
    </r>
  </si>
  <si>
    <t xml:space="preserve">ASML</t>
  </si>
  <si>
    <t xml:space="preserve">Large-cap</t>
  </si>
  <si>
    <t xml:space="preserve">AMAT</t>
  </si>
  <si>
    <t xml:space="preserve">LRCX</t>
  </si>
  <si>
    <t xml:space="preserve">NVDA</t>
  </si>
  <si>
    <t xml:space="preserve">High-vol</t>
  </si>
  <si>
    <t xml:space="preserve">TQQQ</t>
  </si>
  <si>
    <t xml:space="preserve">3x ETF</t>
  </si>
  <si>
    <t xml:space="preserve">SOXL</t>
  </si>
  <si>
    <t xml:space="preserve">범례 / 주의사항:</t>
  </si>
  <si>
    <r>
      <rPr>
        <i val="true"/>
        <sz val="11"/>
        <color rgb="FF000000"/>
        <rFont val="Arial"/>
        <family val="0"/>
        <charset val="1"/>
      </rPr>
      <t xml:space="preserve">  • MA20 slope </t>
    </r>
    <r>
      <rPr>
        <i val="true"/>
        <sz val="11"/>
        <color rgb="FF000000"/>
        <rFont val="Noto Sans CJK SC"/>
        <family val="2"/>
      </rPr>
      <t xml:space="preserve">임계</t>
    </r>
    <r>
      <rPr>
        <i val="true"/>
        <sz val="11"/>
        <color rgb="FF000000"/>
        <rFont val="Arial"/>
        <family val="0"/>
        <charset val="1"/>
      </rPr>
      <t xml:space="preserve">: </t>
    </r>
    <r>
      <rPr>
        <i val="true"/>
        <sz val="11"/>
        <color rgb="FF000000"/>
        <rFont val="Noto Sans CJK SC"/>
        <family val="2"/>
      </rPr>
      <t xml:space="preserve">추세 분류용 — </t>
    </r>
    <r>
      <rPr>
        <i val="true"/>
        <sz val="11"/>
        <color rgb="FF000000"/>
        <rFont val="Arial"/>
        <family val="0"/>
        <charset val="1"/>
      </rPr>
      <t xml:space="preserve">'rising' </t>
    </r>
    <r>
      <rPr>
        <i val="true"/>
        <sz val="11"/>
        <color rgb="FF000000"/>
        <rFont val="Noto Sans CJK SC"/>
        <family val="2"/>
      </rPr>
      <t xml:space="preserve">판정에 필요한 최소 </t>
    </r>
    <r>
      <rPr>
        <i val="true"/>
        <sz val="11"/>
        <color rgb="FF000000"/>
        <rFont val="Arial"/>
        <family val="0"/>
        <charset val="1"/>
      </rPr>
      <t xml:space="preserve">weekly slope (%/week)</t>
    </r>
  </si>
  <si>
    <r>
      <rPr>
        <i val="true"/>
        <sz val="11"/>
        <color rgb="FF000000"/>
        <rFont val="Arial"/>
        <family val="0"/>
        <charset val="1"/>
      </rPr>
      <t xml:space="preserve">  • Cons. </t>
    </r>
    <r>
      <rPr>
        <i val="true"/>
        <sz val="11"/>
        <color rgb="FF000000"/>
        <rFont val="Noto Sans CJK SC"/>
        <family val="2"/>
      </rPr>
      <t xml:space="preserve">밴드</t>
    </r>
    <r>
      <rPr>
        <i val="true"/>
        <sz val="11"/>
        <color rgb="FF000000"/>
        <rFont val="Arial"/>
        <family val="0"/>
        <charset val="1"/>
      </rPr>
      <t xml:space="preserve">: 'sideways' </t>
    </r>
    <r>
      <rPr>
        <i val="true"/>
        <sz val="11"/>
        <color rgb="FF000000"/>
        <rFont val="Noto Sans CJK SC"/>
        <family val="2"/>
      </rPr>
      <t xml:space="preserve">판정 — </t>
    </r>
    <r>
      <rPr>
        <i val="true"/>
        <sz val="11"/>
        <color rgb="FF000000"/>
        <rFont val="Arial"/>
        <family val="0"/>
        <charset val="1"/>
      </rPr>
      <t xml:space="preserve">60</t>
    </r>
    <r>
      <rPr>
        <i val="true"/>
        <sz val="11"/>
        <color rgb="FF000000"/>
        <rFont val="Noto Sans CJK SC"/>
        <family val="2"/>
      </rPr>
      <t xml:space="preserve">일 </t>
    </r>
    <r>
      <rPr>
        <i val="true"/>
        <sz val="11"/>
        <color rgb="FF000000"/>
        <rFont val="Arial"/>
        <family val="0"/>
        <charset val="1"/>
      </rPr>
      <t xml:space="preserve">high-low</t>
    </r>
    <r>
      <rPr>
        <i val="true"/>
        <sz val="11"/>
        <color rgb="FF000000"/>
        <rFont val="Noto Sans CJK SC"/>
        <family val="2"/>
      </rPr>
      <t xml:space="preserve">가 이 </t>
    </r>
    <r>
      <rPr>
        <i val="true"/>
        <sz val="11"/>
        <color rgb="FF000000"/>
        <rFont val="Arial"/>
        <family val="0"/>
        <charset val="1"/>
      </rPr>
      <t xml:space="preserve">% </t>
    </r>
    <r>
      <rPr>
        <i val="true"/>
        <sz val="11"/>
        <color rgb="FF000000"/>
        <rFont val="Noto Sans CJK SC"/>
        <family val="2"/>
      </rPr>
      <t xml:space="preserve">이내</t>
    </r>
  </si>
  <si>
    <r>
      <rPr>
        <i val="true"/>
        <sz val="11"/>
        <color rgb="FF000000"/>
        <rFont val="Arial"/>
        <family val="0"/>
        <charset val="1"/>
      </rPr>
      <t xml:space="preserve">  • Stop 1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/2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/3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: </t>
    </r>
    <r>
      <rPr>
        <i val="true"/>
        <sz val="11"/>
        <color rgb="FF000000"/>
        <rFont val="Noto Sans CJK SC"/>
        <family val="2"/>
      </rPr>
      <t xml:space="preserve">고점 대비 </t>
    </r>
    <r>
      <rPr>
        <i val="true"/>
        <sz val="11"/>
        <color rgb="FF000000"/>
        <rFont val="Arial"/>
        <family val="0"/>
        <charset val="1"/>
      </rPr>
      <t xml:space="preserve">% (</t>
    </r>
    <r>
      <rPr>
        <i val="true"/>
        <sz val="11"/>
        <color rgb="FF000000"/>
        <rFont val="Noto Sans CJK SC"/>
        <family val="2"/>
      </rPr>
      <t xml:space="preserve">음수</t>
    </r>
    <r>
      <rPr>
        <i val="true"/>
        <sz val="11"/>
        <color rgb="FF000000"/>
        <rFont val="Arial"/>
        <family val="0"/>
        <charset val="1"/>
      </rPr>
      <t xml:space="preserve">). 1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=</t>
    </r>
    <r>
      <rPr>
        <i val="true"/>
        <sz val="11"/>
        <color rgb="FF000000"/>
        <rFont val="Noto Sans CJK SC"/>
        <family val="2"/>
      </rPr>
      <t xml:space="preserve">관찰</t>
    </r>
    <r>
      <rPr>
        <i val="true"/>
        <sz val="11"/>
        <color rgb="FF000000"/>
        <rFont val="Arial"/>
        <family val="0"/>
        <charset val="1"/>
      </rPr>
      <t xml:space="preserve">, 2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=</t>
    </r>
    <r>
      <rPr>
        <i val="true"/>
        <sz val="11"/>
        <color rgb="FF000000"/>
        <rFont val="Noto Sans CJK SC"/>
        <family val="2"/>
      </rPr>
      <t xml:space="preserve">손절검토</t>
    </r>
    <r>
      <rPr>
        <i val="true"/>
        <sz val="11"/>
        <color rgb="FF000000"/>
        <rFont val="Arial"/>
        <family val="0"/>
        <charset val="1"/>
      </rPr>
      <t xml:space="preserve">, 3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=</t>
    </r>
    <r>
      <rPr>
        <i val="true"/>
        <sz val="11"/>
        <color rgb="FF000000"/>
        <rFont val="Noto Sans CJK SC"/>
        <family val="2"/>
      </rPr>
      <t xml:space="preserve">강제손절</t>
    </r>
  </si>
  <si>
    <r>
      <rPr>
        <i val="true"/>
        <sz val="11"/>
        <color rgb="FF000000"/>
        <rFont val="Arial"/>
        <family val="0"/>
        <charset val="1"/>
      </rPr>
      <t xml:space="preserve">  • Buy 1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/2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/3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: </t>
    </r>
    <r>
      <rPr>
        <i val="true"/>
        <sz val="11"/>
        <color rgb="FF000000"/>
        <rFont val="Noto Sans CJK SC"/>
        <family val="2"/>
      </rPr>
      <t xml:space="preserve">저점 대비 </t>
    </r>
    <r>
      <rPr>
        <i val="true"/>
        <sz val="11"/>
        <color rgb="FF000000"/>
        <rFont val="Arial"/>
        <family val="0"/>
        <charset val="1"/>
      </rPr>
      <t xml:space="preserve">% (</t>
    </r>
    <r>
      <rPr>
        <i val="true"/>
        <sz val="11"/>
        <color rgb="FF000000"/>
        <rFont val="Noto Sans CJK SC"/>
        <family val="2"/>
      </rPr>
      <t xml:space="preserve">양수</t>
    </r>
    <r>
      <rPr>
        <i val="true"/>
        <sz val="11"/>
        <color rgb="FF000000"/>
        <rFont val="Arial"/>
        <family val="0"/>
        <charset val="1"/>
      </rPr>
      <t xml:space="preserve">). 1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=</t>
    </r>
    <r>
      <rPr>
        <i val="true"/>
        <sz val="11"/>
        <color rgb="FF000000"/>
        <rFont val="Noto Sans CJK SC"/>
        <family val="2"/>
      </rPr>
      <t xml:space="preserve">관찰</t>
    </r>
    <r>
      <rPr>
        <i val="true"/>
        <sz val="11"/>
        <color rgb="FF000000"/>
        <rFont val="Arial"/>
        <family val="0"/>
        <charset val="1"/>
      </rPr>
      <t xml:space="preserve">, 2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=</t>
    </r>
    <r>
      <rPr>
        <i val="true"/>
        <sz val="11"/>
        <color rgb="FF000000"/>
        <rFont val="Noto Sans CJK SC"/>
        <family val="2"/>
      </rPr>
      <t xml:space="preserve">매수</t>
    </r>
    <r>
      <rPr>
        <i val="true"/>
        <sz val="11"/>
        <color rgb="FF000000"/>
        <rFont val="Arial"/>
        <family val="0"/>
        <charset val="1"/>
      </rPr>
      <t xml:space="preserve">, 3</t>
    </r>
    <r>
      <rPr>
        <i val="true"/>
        <sz val="11"/>
        <color rgb="FF000000"/>
        <rFont val="Noto Sans CJK SC"/>
        <family val="2"/>
      </rPr>
      <t xml:space="preserve">차</t>
    </r>
    <r>
      <rPr>
        <i val="true"/>
        <sz val="11"/>
        <color rgb="FF000000"/>
        <rFont val="Arial"/>
        <family val="0"/>
        <charset val="1"/>
      </rPr>
      <t xml:space="preserve">=</t>
    </r>
    <r>
      <rPr>
        <i val="true"/>
        <sz val="11"/>
        <color rgb="FF000000"/>
        <rFont val="Noto Sans CJK SC"/>
        <family val="2"/>
      </rPr>
      <t xml:space="preserve">추가분할매수</t>
    </r>
  </si>
  <si>
    <r>
      <rPr>
        <i val="true"/>
        <sz val="11"/>
        <color rgb="FF000000"/>
        <rFont val="Arial"/>
        <family val="0"/>
        <charset val="1"/>
      </rPr>
      <t xml:space="preserve">  • ATR </t>
    </r>
    <r>
      <rPr>
        <i val="true"/>
        <sz val="11"/>
        <color rgb="FF000000"/>
        <rFont val="Noto Sans CJK SC"/>
        <family val="2"/>
      </rPr>
      <t xml:space="preserve">배수</t>
    </r>
    <r>
      <rPr>
        <i val="true"/>
        <sz val="11"/>
        <color rgb="FF000000"/>
        <rFont val="Arial"/>
        <family val="0"/>
        <charset val="1"/>
      </rPr>
      <t xml:space="preserve">: stop_alert / (ATR%) </t>
    </r>
    <r>
      <rPr>
        <i val="true"/>
        <sz val="11"/>
        <color rgb="FF000000"/>
        <rFont val="Noto Sans CJK SC"/>
        <family val="2"/>
      </rPr>
      <t xml:space="preserve">의 일반적인 비율</t>
    </r>
    <r>
      <rPr>
        <i val="true"/>
        <sz val="11"/>
        <color rgb="FF000000"/>
        <rFont val="Arial"/>
        <family val="0"/>
        <charset val="1"/>
      </rPr>
      <t xml:space="preserve">. </t>
    </r>
    <r>
      <rPr>
        <i val="true"/>
        <sz val="11"/>
        <color rgb="FF000000"/>
        <rFont val="Noto Sans CJK SC"/>
        <family val="2"/>
      </rPr>
      <t xml:space="preserve">약 </t>
    </r>
    <r>
      <rPr>
        <i val="true"/>
        <sz val="11"/>
        <color rgb="FF000000"/>
        <rFont val="Arial"/>
        <family val="0"/>
        <charset val="1"/>
      </rPr>
      <t xml:space="preserve">3x</t>
    </r>
    <r>
      <rPr>
        <i val="true"/>
        <sz val="11"/>
        <color rgb="FF000000"/>
        <rFont val="Noto Sans CJK SC"/>
        <family val="2"/>
      </rPr>
      <t xml:space="preserve">가 표준</t>
    </r>
    <r>
      <rPr>
        <i val="true"/>
        <sz val="11"/>
        <color rgb="FF000000"/>
        <rFont val="Arial"/>
        <family val="0"/>
        <charset val="1"/>
      </rPr>
      <t xml:space="preserve">.</t>
    </r>
  </si>
  <si>
    <t xml:space="preserve">조정 가이드:</t>
  </si>
  <si>
    <t xml:space="preserve">  • 백테스트에서 win_rate &lt; 40% → stop_alert를 더 깊게 (-1~2%p)</t>
  </si>
  <si>
    <r>
      <rPr>
        <i val="true"/>
        <sz val="11"/>
        <color rgb="FF000000"/>
        <rFont val="Arial"/>
        <family val="0"/>
        <charset val="1"/>
      </rPr>
      <t xml:space="preserve">  • avg_pnl</t>
    </r>
    <r>
      <rPr>
        <i val="true"/>
        <sz val="11"/>
        <color rgb="FF000000"/>
        <rFont val="Noto Sans CJK SC"/>
        <family val="2"/>
      </rPr>
      <t xml:space="preserve">이 </t>
    </r>
    <r>
      <rPr>
        <i val="true"/>
        <sz val="11"/>
        <color rgb="FF000000"/>
        <rFont val="Arial"/>
        <family val="0"/>
        <charset val="1"/>
      </rPr>
      <t xml:space="preserve">buy_and_hold</t>
    </r>
    <r>
      <rPr>
        <i val="true"/>
        <sz val="11"/>
        <color rgb="FF000000"/>
        <rFont val="Noto Sans CJK SC"/>
        <family val="2"/>
      </rPr>
      <t xml:space="preserve">보다 낮음 → </t>
    </r>
    <r>
      <rPr>
        <i val="true"/>
        <sz val="11"/>
        <color rgb="FF000000"/>
        <rFont val="Arial"/>
        <family val="0"/>
        <charset val="1"/>
      </rPr>
      <t xml:space="preserve">buy_alert</t>
    </r>
    <r>
      <rPr>
        <i val="true"/>
        <sz val="11"/>
        <color rgb="FF000000"/>
        <rFont val="Noto Sans CJK SC"/>
        <family val="2"/>
      </rPr>
      <t xml:space="preserve">를 더 빠르게 </t>
    </r>
    <r>
      <rPr>
        <i val="true"/>
        <sz val="11"/>
        <color rgb="FF000000"/>
        <rFont val="Arial"/>
        <family val="0"/>
        <charset val="1"/>
      </rPr>
      <t xml:space="preserve">(-1~2%p) — </t>
    </r>
    <r>
      <rPr>
        <i val="true"/>
        <sz val="11"/>
        <color rgb="FF000000"/>
        <rFont val="Noto Sans CJK SC"/>
        <family val="2"/>
      </rPr>
      <t xml:space="preserve">반등 초입 진입</t>
    </r>
  </si>
  <si>
    <r>
      <rPr>
        <i val="true"/>
        <sz val="11"/>
        <color rgb="FF000000"/>
        <rFont val="Arial"/>
        <family val="0"/>
        <charset val="1"/>
      </rPr>
      <t xml:space="preserve">  • False signal</t>
    </r>
    <r>
      <rPr>
        <i val="true"/>
        <sz val="11"/>
        <color rgb="FF000000"/>
        <rFont val="Noto Sans CJK SC"/>
        <family val="2"/>
      </rPr>
      <t xml:space="preserve">이 너무 많음 </t>
    </r>
    <r>
      <rPr>
        <i val="true"/>
        <sz val="11"/>
        <color rgb="FF000000"/>
        <rFont val="Arial"/>
        <family val="0"/>
        <charset val="1"/>
      </rPr>
      <t xml:space="preserve">(events ≫ trades) → confirmation </t>
    </r>
    <r>
      <rPr>
        <i val="true"/>
        <sz val="11"/>
        <color rgb="FF000000"/>
        <rFont val="Noto Sans CJK SC"/>
        <family val="2"/>
      </rPr>
      <t xml:space="preserve">필터 강화 </t>
    </r>
    <r>
      <rPr>
        <i val="true"/>
        <sz val="11"/>
        <color rgb="FF000000"/>
        <rFont val="Arial"/>
        <family val="0"/>
        <charset val="1"/>
      </rPr>
      <t xml:space="preserve">(volume threshold 1.5)</t>
    </r>
  </si>
  <si>
    <r>
      <rPr>
        <i val="true"/>
        <sz val="11"/>
        <color rgb="FF000000"/>
        <rFont val="Arial"/>
        <family val="0"/>
        <charset val="1"/>
      </rPr>
      <t xml:space="preserve">  • Whipsaw </t>
    </r>
    <r>
      <rPr>
        <i val="true"/>
        <sz val="11"/>
        <color rgb="FF000000"/>
        <rFont val="Noto Sans CJK SC"/>
        <family val="2"/>
      </rPr>
      <t xml:space="preserve">발생 → </t>
    </r>
    <r>
      <rPr>
        <i val="true"/>
        <sz val="11"/>
        <color rgb="FF000000"/>
        <rFont val="Arial"/>
        <family val="0"/>
        <charset val="1"/>
      </rPr>
      <t xml:space="preserve">MA20 </t>
    </r>
    <r>
      <rPr>
        <i val="true"/>
        <sz val="11"/>
        <color rgb="FF000000"/>
        <rFont val="Noto Sans CJK SC"/>
        <family val="2"/>
      </rPr>
      <t xml:space="preserve">기울기 임계를 더 크게 </t>
    </r>
    <r>
      <rPr>
        <i val="true"/>
        <sz val="11"/>
        <color rgb="FF000000"/>
        <rFont val="Arial"/>
        <family val="0"/>
        <charset val="1"/>
      </rPr>
      <t xml:space="preserve">(sideways </t>
    </r>
    <r>
      <rPr>
        <i val="true"/>
        <sz val="11"/>
        <color rgb="FF000000"/>
        <rFont val="Noto Sans CJK SC"/>
        <family val="2"/>
      </rPr>
      <t xml:space="preserve">영역 확대</t>
    </r>
    <r>
      <rPr>
        <i val="true"/>
        <sz val="11"/>
        <color rgb="FF000000"/>
        <rFont val="Arial"/>
        <family val="0"/>
        <charset val="1"/>
      </rPr>
      <t xml:space="preserve">)</t>
    </r>
  </si>
  <si>
    <t xml:space="preserve">임계값 Sensitivity Analysis — Stop Alert (2차 손절) 변화 시 가설적 영향</t>
  </si>
  <si>
    <r>
      <rPr>
        <i val="true"/>
        <sz val="11"/>
        <color rgb="FF666666"/>
        <rFont val="Arial"/>
        <family val="0"/>
        <charset val="1"/>
      </rPr>
      <t xml:space="preserve">* </t>
    </r>
    <r>
      <rPr>
        <i val="true"/>
        <sz val="11"/>
        <color rgb="FF666666"/>
        <rFont val="Noto Sans CJK SC"/>
        <family val="2"/>
      </rPr>
      <t xml:space="preserve">실제 백테스트 결과는 </t>
    </r>
    <r>
      <rPr>
        <i val="true"/>
        <sz val="11"/>
        <color rgb="FF666666"/>
        <rFont val="Arial"/>
        <family val="0"/>
        <charset val="1"/>
      </rPr>
      <t xml:space="preserve">results_*.xlsx</t>
    </r>
    <r>
      <rPr>
        <i val="true"/>
        <sz val="11"/>
        <color rgb="FF666666"/>
        <rFont val="Noto Sans CJK SC"/>
        <family val="2"/>
      </rPr>
      <t xml:space="preserve">에서 확인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이 </t>
    </r>
    <r>
      <rPr>
        <i val="true"/>
        <sz val="11"/>
        <color rgb="FF666666"/>
        <rFont val="Arial"/>
        <family val="0"/>
        <charset val="1"/>
      </rPr>
      <t xml:space="preserve">sheet</t>
    </r>
    <r>
      <rPr>
        <i val="true"/>
        <sz val="11"/>
        <color rgb="FF666666"/>
        <rFont val="Noto Sans CJK SC"/>
        <family val="2"/>
      </rPr>
      <t xml:space="preserve">는 임계값 변화의 정성적 방향성 가이드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</si>
  <si>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현재 Stop 2차</t>
  </si>
  <si>
    <t xml:space="preserve">Tighter (-2%p)</t>
  </si>
  <si>
    <r>
      <rPr>
        <b val="true"/>
        <sz val="11"/>
        <color rgb="FFFFFFFF"/>
        <rFont val="Arial"/>
        <family val="0"/>
        <charset val="1"/>
      </rPr>
      <t xml:space="preserve">Tighter </t>
    </r>
    <r>
      <rPr>
        <b val="true"/>
        <sz val="11"/>
        <color rgb="FFFFFFFF"/>
        <rFont val="Noto Sans CJK SC"/>
        <family val="2"/>
      </rPr>
      <t xml:space="preserve">영향</t>
    </r>
  </si>
  <si>
    <t xml:space="preserve">Looser (+2%p)</t>
  </si>
  <si>
    <r>
      <rPr>
        <b val="true"/>
        <sz val="11"/>
        <color rgb="FFFFFFFF"/>
        <rFont val="Arial"/>
        <family val="0"/>
        <charset val="1"/>
      </rPr>
      <t xml:space="preserve">Looser </t>
    </r>
    <r>
      <rPr>
        <b val="true"/>
        <sz val="11"/>
        <color rgb="FFFFFFFF"/>
        <rFont val="Noto Sans CJK SC"/>
        <family val="2"/>
      </rPr>
      <t xml:space="preserve">영향</t>
    </r>
  </si>
  <si>
    <t xml:space="preserve">권고 방향</t>
  </si>
  <si>
    <t xml:space="preserve">신호 빈번 +30~50%</t>
  </si>
  <si>
    <r>
      <rPr>
        <sz val="11"/>
        <rFont val="Arial"/>
        <family val="0"/>
        <charset val="1"/>
      </rPr>
      <t xml:space="preserve">Whipsaw </t>
    </r>
    <r>
      <rPr>
        <sz val="11"/>
        <rFont val="Noto Sans CJK SC"/>
        <family val="2"/>
      </rPr>
      <t xml:space="preserve">위험↑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수익보호↑</t>
    </r>
  </si>
  <si>
    <t xml:space="preserve">신호 -20~30%</t>
  </si>
  <si>
    <t xml:space="preserve">큰 손실 노출↑</t>
  </si>
  <si>
    <t xml:space="preserve">현행 유지 또는 -1%p</t>
  </si>
  <si>
    <t xml:space="preserve">신호 +40%</t>
  </si>
  <si>
    <t xml:space="preserve">False signal↑↑</t>
  </si>
  <si>
    <r>
      <rPr>
        <sz val="11"/>
        <rFont val="Arial"/>
        <family val="0"/>
        <charset val="1"/>
      </rPr>
      <t xml:space="preserve">Stop </t>
    </r>
    <r>
      <rPr>
        <sz val="11"/>
        <rFont val="Noto Sans CJK SC"/>
        <family val="2"/>
      </rPr>
      <t xml:space="preserve">깊어짐</t>
    </r>
  </si>
  <si>
    <r>
      <rPr>
        <sz val="11"/>
        <rFont val="Arial"/>
        <family val="0"/>
        <charset val="1"/>
      </rPr>
      <t xml:space="preserve">Recovery </t>
    </r>
    <r>
      <rPr>
        <sz val="11"/>
        <rFont val="Noto Sans CJK SC"/>
        <family val="2"/>
      </rPr>
      <t xml:space="preserve">가능성↑</t>
    </r>
  </si>
  <si>
    <t xml:space="preserve">현행 유지</t>
  </si>
  <si>
    <t xml:space="preserve">동일 (semicap 동조)</t>
  </si>
  <si>
    <t xml:space="preserve">동일</t>
  </si>
  <si>
    <t xml:space="preserve">신호 +50%</t>
  </si>
  <si>
    <t xml:space="preserve">고변동성 → 잦은 trip</t>
  </si>
  <si>
    <t xml:space="preserve">신호 -30%</t>
  </si>
  <si>
    <t xml:space="preserve">큰 drawdown 노출</t>
  </si>
  <si>
    <r>
      <rPr>
        <sz val="11"/>
        <rFont val="Arial"/>
        <family val="0"/>
        <charset val="1"/>
      </rPr>
      <t xml:space="preserve">+1~2%p (</t>
    </r>
    <r>
      <rPr>
        <sz val="11"/>
        <rFont val="Noto Sans CJK SC"/>
        <family val="2"/>
      </rPr>
      <t xml:space="preserve">현행 약간 깊게</t>
    </r>
    <r>
      <rPr>
        <sz val="11"/>
        <rFont val="Arial"/>
        <family val="0"/>
        <charset val="1"/>
      </rPr>
      <t xml:space="preserve">)</t>
    </r>
  </si>
  <si>
    <t xml:space="preserve">신호 +60%</t>
  </si>
  <si>
    <r>
      <rPr>
        <sz val="11"/>
        <rFont val="Arial"/>
        <family val="0"/>
        <charset val="1"/>
      </rPr>
      <t xml:space="preserve">3x → daily 5% </t>
    </r>
    <r>
      <rPr>
        <sz val="11"/>
        <rFont val="Noto Sans CJK SC"/>
        <family val="2"/>
      </rPr>
      <t xml:space="preserve">변동도 </t>
    </r>
    <r>
      <rPr>
        <sz val="11"/>
        <rFont val="Arial"/>
        <family val="0"/>
        <charset val="1"/>
      </rPr>
      <t xml:space="preserve">trip</t>
    </r>
  </si>
  <si>
    <t xml:space="preserve">신호 -40%</t>
  </si>
  <si>
    <t xml:space="preserve">큰 손실</t>
  </si>
  <si>
    <t xml:space="preserve">현행 유지 (이미 buffer 큼)</t>
  </si>
  <si>
    <t xml:space="preserve">신호 +70%</t>
  </si>
  <si>
    <r>
      <rPr>
        <sz val="11"/>
        <rFont val="Arial"/>
        <family val="0"/>
        <charset val="1"/>
      </rPr>
      <t xml:space="preserve">False alert </t>
    </r>
    <r>
      <rPr>
        <sz val="11"/>
        <rFont val="Noto Sans CJK SC"/>
        <family val="2"/>
      </rPr>
      <t xml:space="preserve">폭증</t>
    </r>
  </si>
  <si>
    <t xml:space="preserve">신호 -50%</t>
  </si>
  <si>
    <r>
      <rPr>
        <sz val="11"/>
        <rFont val="Arial"/>
        <family val="0"/>
        <charset val="1"/>
      </rPr>
      <t xml:space="preserve">30%+ drawdown </t>
    </r>
    <r>
      <rPr>
        <sz val="11"/>
        <rFont val="Noto Sans CJK SC"/>
        <family val="2"/>
      </rPr>
      <t xml:space="preserve">위험</t>
    </r>
  </si>
  <si>
    <t xml:space="preserve">임계값 Sensitivity — Buy Alert (2차 매수) 변화 시 가설적 영향</t>
  </si>
  <si>
    <t xml:space="preserve">현재 Buy 2차</t>
  </si>
  <si>
    <t xml:space="preserve">더 빨리 진입</t>
  </si>
  <si>
    <r>
      <rPr>
        <sz val="11"/>
        <rFont val="Arial"/>
        <family val="0"/>
        <charset val="1"/>
      </rPr>
      <t xml:space="preserve">Dead cat bounce </t>
    </r>
    <r>
      <rPr>
        <sz val="11"/>
        <rFont val="Noto Sans CJK SC"/>
        <family val="2"/>
      </rPr>
      <t xml:space="preserve">위험</t>
    </r>
  </si>
  <si>
    <t xml:space="preserve">더 신중</t>
  </si>
  <si>
    <t xml:space="preserve">Lost opportunity</t>
  </si>
  <si>
    <r>
      <rPr>
        <sz val="11"/>
        <rFont val="Arial"/>
        <family val="0"/>
        <charset val="1"/>
      </rPr>
      <t xml:space="preserve">Confirmation </t>
    </r>
    <r>
      <rPr>
        <sz val="11"/>
        <rFont val="Noto Sans CJK SC"/>
        <family val="2"/>
      </rPr>
      <t xml:space="preserve">강화 필요</t>
    </r>
  </si>
  <si>
    <t xml:space="preserve">신호 적음</t>
  </si>
  <si>
    <t xml:space="preserve">큰 반등 놓침</t>
  </si>
  <si>
    <r>
      <rPr>
        <sz val="11"/>
        <rFont val="Arial"/>
        <family val="0"/>
        <charset val="1"/>
      </rPr>
      <t xml:space="preserve">+0.5%p </t>
    </r>
    <r>
      <rPr>
        <sz val="11"/>
        <rFont val="Noto Sans CJK SC"/>
        <family val="2"/>
      </rPr>
      <t xml:space="preserve">빠르게도 </t>
    </r>
    <r>
      <rPr>
        <sz val="11"/>
        <rFont val="Arial"/>
        <family val="0"/>
        <charset val="1"/>
      </rPr>
      <t xml:space="preserve">OK</t>
    </r>
  </si>
  <si>
    <r>
      <rPr>
        <sz val="11"/>
        <rFont val="Arial"/>
        <family val="0"/>
        <charset val="1"/>
      </rPr>
      <t xml:space="preserve">RSI </t>
    </r>
    <r>
      <rPr>
        <sz val="11"/>
        <rFont val="Noto Sans CJK SC"/>
        <family val="2"/>
      </rPr>
      <t xml:space="preserve">강세 패턴 빈번</t>
    </r>
  </si>
  <si>
    <t xml:space="preserve">신호 너무 늦음</t>
  </si>
  <si>
    <t xml:space="preserve">큰 상승 놓침</t>
  </si>
  <si>
    <r>
      <rPr>
        <sz val="11"/>
        <rFont val="Arial"/>
        <family val="0"/>
        <charset val="1"/>
      </rPr>
      <t xml:space="preserve">-1%p (</t>
    </r>
    <r>
      <rPr>
        <sz val="11"/>
        <rFont val="Noto Sans CJK SC"/>
        <family val="2"/>
      </rPr>
      <t xml:space="preserve">조금 빠르게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</si>
  <si>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false rally </t>
    </r>
    <r>
      <rPr>
        <sz val="11"/>
        <rFont val="Noto Sans CJK SC"/>
        <family val="2"/>
      </rPr>
      <t xml:space="preserve">위험</t>
    </r>
  </si>
  <si>
    <r>
      <rPr>
        <sz val="11"/>
        <rFont val="Arial"/>
        <family val="0"/>
        <charset val="1"/>
      </rPr>
      <t xml:space="preserve">10% </t>
    </r>
    <r>
      <rPr>
        <sz val="11"/>
        <rFont val="Noto Sans CJK SC"/>
        <family val="2"/>
      </rPr>
      <t xml:space="preserve">반등 후 다시 </t>
    </r>
    <r>
      <rPr>
        <sz val="11"/>
        <rFont val="Arial"/>
        <family val="0"/>
        <charset val="1"/>
      </rPr>
      <t xml:space="preserve">-10% </t>
    </r>
    <r>
      <rPr>
        <sz val="11"/>
        <rFont val="Noto Sans CJK SC"/>
        <family val="2"/>
      </rPr>
      <t xml:space="preserve">흔함</t>
    </r>
  </si>
  <si>
    <t xml:space="preserve">현행</t>
  </si>
  <si>
    <r>
      <rPr>
        <sz val="11"/>
        <rFont val="Arial"/>
        <family val="0"/>
        <charset val="1"/>
      </rPr>
      <t xml:space="preserve">8~10%</t>
    </r>
    <r>
      <rPr>
        <sz val="11"/>
        <rFont val="Noto Sans CJK SC"/>
        <family val="2"/>
      </rPr>
      <t xml:space="preserve">로 너무 빠름</t>
    </r>
  </si>
  <si>
    <r>
      <rPr>
        <sz val="11"/>
        <rFont val="Arial"/>
        <family val="0"/>
        <charset val="1"/>
      </rPr>
      <t xml:space="preserve">+15% </t>
    </r>
    <r>
      <rPr>
        <sz val="11"/>
        <rFont val="Noto Sans CJK SC"/>
        <family val="2"/>
      </rPr>
      <t xml:space="preserve">후 다시 폭락 빈번</t>
    </r>
  </si>
  <si>
    <t xml:space="preserve">현행 유지 (큰 buffer 필수)</t>
  </si>
  <si>
    <t xml:space="preserve">임계값 미세조정 가이드</t>
  </si>
  <si>
    <t xml:space="preserve">백테스트 결과 (results_*.xlsx)의 'Summary' 탭에서 다음 지표를 확인:</t>
  </si>
  <si>
    <r>
      <rPr>
        <b val="true"/>
        <sz val="12"/>
        <color rgb="FFC0392B"/>
        <rFont val="Arial"/>
        <family val="0"/>
        <charset val="1"/>
      </rPr>
      <t xml:space="preserve">1. Win Rate &lt; 45%</t>
    </r>
    <r>
      <rPr>
        <b val="true"/>
        <sz val="12"/>
        <color rgb="FFC0392B"/>
        <rFont val="Noto Sans CJK SC"/>
        <family val="2"/>
      </rPr>
      <t xml:space="preserve">인 경우</t>
    </r>
  </si>
  <si>
    <t xml:space="preserve">   원인: stop_alert가 너무 빨라서 false signal이 많음</t>
  </si>
  <si>
    <t xml:space="preserve">   해결: stop_alert를 -1~2%p 더 깊게 (예: AMAT -9% → -10% 또는 -11%)</t>
  </si>
  <si>
    <t xml:space="preserve">   추가: confirmation 필터 강화 (volume threshold 1.5x로 상향)</t>
  </si>
  <si>
    <r>
      <rPr>
        <b val="true"/>
        <sz val="12"/>
        <color rgb="FFC0392B"/>
        <rFont val="Arial"/>
        <family val="0"/>
        <charset val="1"/>
      </rPr>
      <t xml:space="preserve">2. Strategy vs B&amp;H &lt; 0 (</t>
    </r>
    <r>
      <rPr>
        <b val="true"/>
        <sz val="12"/>
        <color rgb="FFC0392B"/>
        <rFont val="Noto Sans CJK SC"/>
        <family val="2"/>
      </rPr>
      <t xml:space="preserve">전략이 </t>
    </r>
    <r>
      <rPr>
        <b val="true"/>
        <sz val="12"/>
        <color rgb="FFC0392B"/>
        <rFont val="Arial"/>
        <family val="0"/>
        <charset val="1"/>
      </rPr>
      <t xml:space="preserve">buy &amp; hold</t>
    </r>
    <r>
      <rPr>
        <b val="true"/>
        <sz val="12"/>
        <color rgb="FFC0392B"/>
        <rFont val="Noto Sans CJK SC"/>
        <family val="2"/>
      </rPr>
      <t xml:space="preserve">보다 못함</t>
    </r>
    <r>
      <rPr>
        <b val="true"/>
        <sz val="12"/>
        <color rgb="FFC0392B"/>
        <rFont val="Arial"/>
        <family val="0"/>
        <charset val="1"/>
      </rPr>
      <t xml:space="preserve">)</t>
    </r>
  </si>
  <si>
    <t xml:space="preserve">   원인 A: stop이 너무 빨라서 정상적인 변동에 trip → 위 1번 적용</t>
  </si>
  <si>
    <t xml:space="preserve">   원인 B: buy 진입이 너무 늦어서 큰 반등을 놓침</t>
  </si>
  <si>
    <t xml:space="preserve">   해결 B: buy_alert를 -1~2%p 빠르게 (예: NVDA +7% → +5% 또는 +6%)</t>
  </si>
  <si>
    <r>
      <rPr>
        <b val="true"/>
        <sz val="12"/>
        <color rgb="FFE67E22"/>
        <rFont val="Arial"/>
        <family val="0"/>
        <charset val="1"/>
      </rPr>
      <t xml:space="preserve">3. Avg Trade PnL &gt; 0 </t>
    </r>
    <r>
      <rPr>
        <b val="true"/>
        <sz val="12"/>
        <color rgb="FFE67E22"/>
        <rFont val="Noto Sans CJK SC"/>
        <family val="2"/>
      </rPr>
      <t xml:space="preserve">이지만 </t>
    </r>
    <r>
      <rPr>
        <b val="true"/>
        <sz val="12"/>
        <color rgb="FFE67E22"/>
        <rFont val="Arial"/>
        <family val="0"/>
        <charset val="1"/>
      </rPr>
      <t xml:space="preserve">Total Strategy &lt; B&amp;H</t>
    </r>
  </si>
  <si>
    <t xml:space="preserve">   원인: 트레이드 횟수가 적어서 복리 효과가 부족</t>
  </si>
  <si>
    <t xml:space="preserve">   해결: stop_watch (1차) 임계도 약간 빠르게 → 더 자주 모니터링</t>
  </si>
  <si>
    <t xml:space="preserve">       단, stop_alert는 그대로 유지</t>
  </si>
  <si>
    <r>
      <rPr>
        <b val="true"/>
        <sz val="12"/>
        <color rgb="FFC0392B"/>
        <rFont val="Arial"/>
        <family val="0"/>
        <charset val="1"/>
      </rPr>
      <t xml:space="preserve">4. Max Loss &gt; stop_forced </t>
    </r>
    <r>
      <rPr>
        <b val="true"/>
        <sz val="12"/>
        <color rgb="FFC0392B"/>
        <rFont val="Noto Sans CJK SC"/>
        <family val="2"/>
      </rPr>
      <t xml:space="preserve">임계</t>
    </r>
  </si>
  <si>
    <t xml:space="preserve">   원인: gap-down (장 시작 직후 폭락)으로 임계 가격을 건너뜀</t>
  </si>
  <si>
    <t xml:space="preserve">   해결: stop_forced를 -2~3%p 더 빠르게 (예: TQQQ -20% → -17%)</t>
  </si>
  <si>
    <t xml:space="preserve">   주의: 너무 빠르면 정상 변동에 trip, balance 필요</t>
  </si>
  <si>
    <r>
      <rPr>
        <b val="true"/>
        <sz val="12"/>
        <color rgb="FF16A085"/>
        <rFont val="Arial"/>
        <family val="0"/>
        <charset val="1"/>
      </rPr>
      <t xml:space="preserve">5. Win Rate &gt; 60% </t>
    </r>
    <r>
      <rPr>
        <b val="true"/>
        <sz val="12"/>
        <color rgb="FF16A085"/>
        <rFont val="Noto Sans CJK SC"/>
        <family val="2"/>
      </rPr>
      <t xml:space="preserve">인데 </t>
    </r>
    <r>
      <rPr>
        <b val="true"/>
        <sz val="12"/>
        <color rgb="FF16A085"/>
        <rFont val="Arial"/>
        <family val="0"/>
        <charset val="1"/>
      </rPr>
      <t xml:space="preserve">Avg PnL</t>
    </r>
    <r>
      <rPr>
        <b val="true"/>
        <sz val="12"/>
        <color rgb="FF16A085"/>
        <rFont val="Noto Sans CJK SC"/>
        <family val="2"/>
      </rPr>
      <t xml:space="preserve">이 작음</t>
    </r>
  </si>
  <si>
    <t xml:space="preserve">   원인: 너무 일찍 손절해서 큰 수익 놓침</t>
  </si>
  <si>
    <t xml:space="preserve">   해결: stop_alert를 +1~2%p 늦게 (예: ASML -8% → -10%)</t>
  </si>
  <si>
    <t xml:space="preserve">       또는 Buy 후 일정 % 수익 시 stop을 entry price 위로 이동 (trailing stop)</t>
  </si>
  <si>
    <t xml:space="preserve">정량적 의사결정 기준 (보수적):</t>
  </si>
  <si>
    <t xml:space="preserve">   • 임계값 변경은 한 번에 1개 종목만, 변화량은 최대 ±2%p</t>
  </si>
  <si>
    <t xml:space="preserve">   • 변경 후 최소 4주 운영 후 효과 측정</t>
  </si>
  <si>
    <t xml:space="preserve">   • 백테스트 N_trades &lt; 5인 종목은 통계적 의미 부족 → 변경 보류</t>
  </si>
  <si>
    <t xml:space="preserve">   • 시장 regime이 바뀐 경우 (VIX &gt; 30 등) 임계값 일시 widen</t>
  </si>
  <si>
    <t xml:space="preserve">자동 보정 옵션 (advanced):</t>
  </si>
  <si>
    <r>
      <rPr>
        <sz val="11"/>
        <color rgb="FF000000"/>
        <rFont val="Arial"/>
        <family val="0"/>
        <charset val="1"/>
      </rPr>
      <t xml:space="preserve">   src/thresholds.py</t>
    </r>
    <r>
      <rPr>
        <sz val="11"/>
        <color rgb="FF000000"/>
        <rFont val="Noto Sans CJK SC"/>
        <family val="2"/>
      </rPr>
      <t xml:space="preserve">에 </t>
    </r>
    <r>
      <rPr>
        <sz val="11"/>
        <color rgb="FF000000"/>
        <rFont val="Arial"/>
        <family val="0"/>
        <charset val="1"/>
      </rPr>
      <t xml:space="preserve">atr_multiplier </t>
    </r>
    <r>
      <rPr>
        <sz val="11"/>
        <color rgb="FF000000"/>
        <rFont val="Noto Sans CJK SC"/>
        <family val="2"/>
      </rPr>
      <t xml:space="preserve">필드가 이미 있음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다음 함수를 추가하면</t>
    </r>
  </si>
  <si>
    <r>
      <rPr>
        <sz val="11"/>
        <color rgb="FF000000"/>
        <rFont val="Arial"/>
        <family val="0"/>
        <charset val="1"/>
      </rPr>
      <t xml:space="preserve">   ATR-</t>
    </r>
    <r>
      <rPr>
        <sz val="11"/>
        <color rgb="FF000000"/>
        <rFont val="Noto Sans CJK SC"/>
        <family val="2"/>
      </rPr>
      <t xml:space="preserve">기반 동적 임계값 계산이 가능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코드 예시는 </t>
    </r>
    <r>
      <rPr>
        <sz val="11"/>
        <color rgb="FF000000"/>
        <rFont val="Arial"/>
        <family val="0"/>
        <charset val="1"/>
      </rPr>
      <t xml:space="preserve">README</t>
    </r>
    <r>
      <rPr>
        <sz val="11"/>
        <color rgb="FF000000"/>
        <rFont val="Noto Sans CJK SC"/>
        <family val="2"/>
      </rPr>
      <t xml:space="preserve">에 포함</t>
    </r>
    <r>
      <rPr>
        <sz val="11"/>
        <color rgb="FF000000"/>
        <rFont val="Arial"/>
        <family val="0"/>
        <charset val="1"/>
      </rPr>
      <t xml:space="preserve">):</t>
    </r>
  </si>
  <si>
    <t xml:space="preserve">       dynamic_stop_alert = -atr_multiplier × (ATR14 / Price)</t>
  </si>
  <si>
    <t xml:space="preserve">   장점: regime change 자동 흡수. 단점: 임계값이 매일 변동 → 멘탈 부담.</t>
  </si>
  <si>
    <t xml:space="preserve">종목별 변동성 프로파일 (참고치 — 실제값은 backtest.py 실행 시 갱신)</t>
  </si>
  <si>
    <t xml:space="preserve">Daily Vol %</t>
  </si>
  <si>
    <t xml:space="preserve">ATR % (avg)</t>
  </si>
  <si>
    <t xml:space="preserve">60d Max DD %</t>
  </si>
  <si>
    <t xml:space="preserve">60d Max Rebound %</t>
  </si>
  <si>
    <t xml:space="preserve">Typical 5d move %</t>
  </si>
  <si>
    <t xml:space="preserve">P75 5d move %</t>
  </si>
  <si>
    <t xml:space="preserve">Notes</t>
  </si>
  <si>
    <t xml:space="preserve">유럽 시장 영향, EUV 사이클</t>
  </si>
  <si>
    <r>
      <rPr>
        <sz val="11"/>
        <rFont val="Arial"/>
        <family val="0"/>
        <charset val="1"/>
      </rPr>
      <t xml:space="preserve">Semicap </t>
    </r>
    <r>
      <rPr>
        <sz val="11"/>
        <rFont val="Noto Sans CJK SC"/>
        <family val="2"/>
      </rPr>
      <t xml:space="preserve">대표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어닝 변동성</t>
    </r>
  </si>
  <si>
    <r>
      <rPr>
        <sz val="11"/>
        <rFont val="Arial"/>
        <family val="0"/>
        <charset val="1"/>
      </rPr>
      <t xml:space="preserve">AMAT</t>
    </r>
    <r>
      <rPr>
        <sz val="11"/>
        <rFont val="Noto Sans CJK SC"/>
        <family val="2"/>
      </rPr>
      <t xml:space="preserve">과 강한 동조</t>
    </r>
  </si>
  <si>
    <r>
      <rPr>
        <sz val="11"/>
        <rFont val="Arial"/>
        <family val="0"/>
        <charset val="1"/>
      </rPr>
      <t xml:space="preserve">AI hype, </t>
    </r>
    <r>
      <rPr>
        <sz val="11"/>
        <rFont val="Noto Sans CJK SC"/>
        <family val="2"/>
      </rPr>
      <t xml:space="preserve">큰 단기 </t>
    </r>
    <r>
      <rPr>
        <sz val="11"/>
        <rFont val="Arial"/>
        <family val="0"/>
        <charset val="1"/>
      </rPr>
      <t xml:space="preserve">swing</t>
    </r>
  </si>
  <si>
    <r>
      <rPr>
        <sz val="11"/>
        <rFont val="Arial"/>
        <family val="0"/>
        <charset val="1"/>
      </rPr>
      <t xml:space="preserve">3x QQQ → volatility decay </t>
    </r>
    <r>
      <rPr>
        <sz val="11"/>
        <rFont val="Noto Sans CJK SC"/>
        <family val="2"/>
      </rPr>
      <t xml:space="preserve">주의</t>
    </r>
  </si>
  <si>
    <r>
      <rPr>
        <sz val="11"/>
        <rFont val="Arial"/>
        <family val="0"/>
        <charset val="1"/>
      </rPr>
      <t xml:space="preserve">3x SOXX → </t>
    </r>
    <r>
      <rPr>
        <sz val="11"/>
        <rFont val="Noto Sans CJK SC"/>
        <family val="2"/>
      </rPr>
      <t xml:space="preserve">단기 매매에만 적합</t>
    </r>
  </si>
  <si>
    <t xml:space="preserve">이 표의 값은 일반적인 historical 범위입니다. backtest.py 실행 후 실제 측정값으로 갱신하세요.</t>
  </si>
  <si>
    <t xml:space="preserve">백테스트 결과 입력 (backtest.py 실행 후 results_*.xlsx 의 Summary 탭에서 복사)</t>
  </si>
  <si>
    <t xml:space="preserve">Events</t>
  </si>
  <si>
    <t xml:space="preserve">Trades</t>
  </si>
  <si>
    <t xml:space="preserve">Avg PnL %</t>
  </si>
  <si>
    <t xml:space="preserve">Win Rate %</t>
  </si>
  <si>
    <t xml:space="preserve">Max Gain %</t>
  </si>
  <si>
    <t xml:space="preserve">Max Loss %</t>
  </si>
  <si>
    <t xml:space="preserve">Buy&amp;Hold %</t>
  </si>
  <si>
    <t xml:space="preserve">Strategy vs B&amp;H</t>
  </si>
  <si>
    <t xml:space="preserve">Total / Avg</t>
  </si>
  <si>
    <t xml:space="preserve">해석 자동 생성: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</si>
</sst>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\%"/>
    <numFmt numFmtId="166" formatCode="\+0.0\%;\-0.0\%;\-"/>
    <numFmt numFmtId="167" formatCode="0.0\x"/>
    <numFmt numFmtId="168" formatCode="0.0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3E50"/>
      <name val="Noto Sans CJK SC"/>
      <family val="2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  <charset val="1"/>
    </font>
    <font>
      <b val="true"/>
      <sz val="12"/>
      <color rgb="FF2C3E50"/>
      <name val="Noto Sans CJK SC"/>
      <family val="2"/>
      <charset val="1"/>
    </font>
    <font>
      <sz val="11"/>
      <color rgb="FF000000"/>
      <name val="Noto Sans CJK SC"/>
      <family val="2"/>
    </font>
    <font>
      <sz val="11"/>
      <color rgb="FF0000FF"/>
      <name val="Noto Sans CJK SC"/>
      <family val="2"/>
      <charset val="1"/>
    </font>
    <font>
      <b val="true"/>
      <sz val="12"/>
      <color rgb="FFC0392B"/>
      <name val="Noto Sans CJK SC"/>
      <family val="2"/>
      <charset val="1"/>
    </font>
    <font>
      <b val="true"/>
      <sz val="13"/>
      <color rgb="FF2C3E50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C3E50"/>
      <name val="Noto Sans CJK SC"/>
      <family val="2"/>
      <charset val="1"/>
    </font>
    <font>
      <i val="true"/>
      <sz val="11"/>
      <color rgb="FF000000"/>
      <name val="Arial"/>
      <family val="0"/>
      <charset val="1"/>
    </font>
    <font>
      <i val="true"/>
      <sz val="11"/>
      <color rgb="FF000000"/>
      <name val="Noto Sans CJK SC"/>
      <family val="2"/>
    </font>
    <font>
      <i val="true"/>
      <sz val="11"/>
      <color rgb="FF000000"/>
      <name val="Noto Sans CJK SC"/>
      <family val="2"/>
      <charset val="1"/>
    </font>
    <font>
      <i val="true"/>
      <sz val="11"/>
      <color rgb="FF666666"/>
      <name val="Arial"/>
      <family val="0"/>
      <charset val="1"/>
    </font>
    <font>
      <i val="true"/>
      <sz val="11"/>
      <color rgb="FF666666"/>
      <name val="Noto Sans CJK SC"/>
      <family val="2"/>
    </font>
    <font>
      <b val="true"/>
      <sz val="11"/>
      <color rgb="FFFFFFFF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Noto Sans CJK SC"/>
      <family val="2"/>
    </font>
    <font>
      <b val="true"/>
      <sz val="12"/>
      <color rgb="FFC0392B"/>
      <name val="Arial"/>
      <family val="0"/>
      <charset val="1"/>
    </font>
    <font>
      <b val="true"/>
      <sz val="12"/>
      <color rgb="FFC0392B"/>
      <name val="Noto Sans CJK SC"/>
      <family val="2"/>
    </font>
    <font>
      <b val="true"/>
      <sz val="12"/>
      <color rgb="FFE67E22"/>
      <name val="Arial"/>
      <family val="0"/>
      <charset val="1"/>
    </font>
    <font>
      <b val="true"/>
      <sz val="12"/>
      <color rgb="FFE67E22"/>
      <name val="Noto Sans CJK SC"/>
      <family val="2"/>
    </font>
    <font>
      <b val="true"/>
      <sz val="12"/>
      <color rgb="FF16A085"/>
      <name val="Arial"/>
      <family val="0"/>
      <charset val="1"/>
    </font>
    <font>
      <b val="true"/>
      <sz val="12"/>
      <color rgb="FF16A085"/>
      <name val="Noto Sans CJK SC"/>
      <family val="2"/>
    </font>
    <font>
      <i val="true"/>
      <sz val="11"/>
      <color rgb="FF666666"/>
      <name val="Noto Sans CJK SC"/>
      <family val="2"/>
      <charset val="1"/>
    </font>
    <font>
      <b val="true"/>
      <sz val="11"/>
      <name val="Noto Sans CJK SC"/>
      <family val="2"/>
      <charset val="1"/>
    </font>
    <font>
      <i val="true"/>
      <sz val="11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CF0F1"/>
        <bgColor rgb="FFFFFFFF"/>
      </patternFill>
    </fill>
    <fill>
      <patternFill patternType="solid">
        <fgColor rgb="FF2C3E50"/>
        <bgColor rgb="FF34495E"/>
      </patternFill>
    </fill>
    <fill>
      <patternFill patternType="solid">
        <fgColor rgb="FFFFF9C4"/>
        <bgColor rgb="FFFFFF99"/>
      </patternFill>
    </fill>
    <fill>
      <patternFill patternType="solid">
        <fgColor rgb="FF34495E"/>
        <bgColor rgb="FF2C3E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CF0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16A085"/>
      <rgbColor rgb="FF003300"/>
      <rgbColor rgb="FF333300"/>
      <rgbColor rgb="FFC0392B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6.5" hidden="false" customHeight="true" outlineLevel="0" collapsed="false">
      <c r="A3" s="4" t="s">
        <v>1</v>
      </c>
    </row>
    <row r="4" customFormat="false" ht="16.5" hidden="false" customHeight="true" outlineLevel="0" collapsed="false">
      <c r="A4" s="4" t="s">
        <v>2</v>
      </c>
    </row>
    <row r="5" customFormat="false" ht="15" hidden="false" customHeight="true" outlineLevel="0" collapsed="false">
      <c r="A5" s="3"/>
    </row>
    <row r="6" customFormat="false" ht="18.75" hidden="false" customHeight="true" outlineLevel="0" collapsed="false">
      <c r="A6" s="5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6.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8.75" hidden="false" customHeight="true" outlineLevel="0" collapsed="false">
      <c r="A12" s="5" t="s">
        <v>8</v>
      </c>
    </row>
    <row r="13" customFormat="false" ht="16.5" hidden="false" customHeight="true" outlineLevel="0" collapsed="false">
      <c r="A13" s="3" t="s">
        <v>9</v>
      </c>
    </row>
    <row r="14" customFormat="false" ht="16.5" hidden="false" customHeight="true" outlineLevel="0" collapsed="false">
      <c r="A14" s="3" t="s">
        <v>10</v>
      </c>
    </row>
    <row r="15" customFormat="false" ht="16.5" hidden="false" customHeight="true" outlineLevel="0" collapsed="false">
      <c r="A15" s="3" t="s">
        <v>11</v>
      </c>
    </row>
    <row r="16" customFormat="false" ht="16.5" hidden="false" customHeight="true" outlineLevel="0" collapsed="false">
      <c r="A16" s="3" t="s">
        <v>12</v>
      </c>
    </row>
    <row r="17" customFormat="false" ht="16.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/>
    </row>
    <row r="19" customFormat="false" ht="18.75" hidden="false" customHeight="true" outlineLevel="0" collapsed="false">
      <c r="A19" s="5" t="s">
        <v>14</v>
      </c>
    </row>
    <row r="20" customFormat="false" ht="16.5" hidden="false" customHeight="true" outlineLevel="0" collapsed="false">
      <c r="A20" s="6" t="s">
        <v>15</v>
      </c>
    </row>
    <row r="21" customFormat="false" ht="16.5" hidden="false" customHeight="true" outlineLevel="0" collapsed="false">
      <c r="A21" s="4" t="s">
        <v>16</v>
      </c>
    </row>
    <row r="22" customFormat="false" ht="16.5" hidden="false" customHeight="true" outlineLevel="0" collapsed="false">
      <c r="A22" s="4" t="s">
        <v>17</v>
      </c>
    </row>
    <row r="23" customFormat="false" ht="15" hidden="false" customHeight="true" outlineLevel="0" collapsed="false">
      <c r="A23" s="3"/>
    </row>
    <row r="24" customFormat="false" ht="18.75" hidden="false" customHeight="true" outlineLevel="0" collapsed="false">
      <c r="A24" s="7" t="s">
        <v>18</v>
      </c>
    </row>
    <row r="25" customFormat="false" ht="16.5" hidden="false" customHeight="true" outlineLevel="0" collapsed="false">
      <c r="A25" s="4" t="s">
        <v>19</v>
      </c>
    </row>
    <row r="26" customFormat="false" ht="16.5" hidden="false" customHeight="true" outlineLevel="0" collapsed="false">
      <c r="A26" s="3" t="s">
        <v>20</v>
      </c>
    </row>
    <row r="27" customFormat="false" ht="16.5" hidden="false" customHeight="true" outlineLevel="0" collapsed="false">
      <c r="A27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1" min="2" style="1" width="13"/>
  </cols>
  <sheetData>
    <row r="1" customFormat="false" ht="19.5" hidden="false" customHeight="true" outlineLevel="0" collapsed="false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customFormat="false" ht="30" hidden="false" customHeight="true" outlineLevel="0" collapsed="false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</row>
    <row r="4" customFormat="false" ht="15" hidden="false" customHeight="true" outlineLevel="0" collapsed="false">
      <c r="A4" s="10" t="s">
        <v>34</v>
      </c>
      <c r="B4" s="11" t="s">
        <v>35</v>
      </c>
      <c r="C4" s="12" t="n">
        <v>1</v>
      </c>
      <c r="D4" s="12" t="n">
        <v>8</v>
      </c>
      <c r="E4" s="13" t="n">
        <v>-5</v>
      </c>
      <c r="F4" s="13" t="n">
        <v>-8</v>
      </c>
      <c r="G4" s="13" t="n">
        <v>-12</v>
      </c>
      <c r="H4" s="13" t="n">
        <v>3</v>
      </c>
      <c r="I4" s="13" t="n">
        <v>5</v>
      </c>
      <c r="J4" s="13" t="n">
        <v>8</v>
      </c>
      <c r="K4" s="14" t="n">
        <v>2.5</v>
      </c>
    </row>
    <row r="5" customFormat="false" ht="15" hidden="false" customHeight="true" outlineLevel="0" collapsed="false">
      <c r="A5" s="10" t="s">
        <v>36</v>
      </c>
      <c r="B5" s="11" t="s">
        <v>35</v>
      </c>
      <c r="C5" s="12" t="n">
        <v>1.2</v>
      </c>
      <c r="D5" s="12" t="n">
        <v>9</v>
      </c>
      <c r="E5" s="13" t="n">
        <v>-6</v>
      </c>
      <c r="F5" s="13" t="n">
        <v>-9</v>
      </c>
      <c r="G5" s="13" t="n">
        <v>-13</v>
      </c>
      <c r="H5" s="13" t="n">
        <v>4</v>
      </c>
      <c r="I5" s="13" t="n">
        <v>6</v>
      </c>
      <c r="J5" s="13" t="n">
        <v>9</v>
      </c>
      <c r="K5" s="14" t="n">
        <v>3</v>
      </c>
    </row>
    <row r="6" customFormat="false" ht="15" hidden="false" customHeight="true" outlineLevel="0" collapsed="false">
      <c r="A6" s="10" t="s">
        <v>37</v>
      </c>
      <c r="B6" s="11" t="s">
        <v>35</v>
      </c>
      <c r="C6" s="12" t="n">
        <v>1.2</v>
      </c>
      <c r="D6" s="12" t="n">
        <v>9</v>
      </c>
      <c r="E6" s="13" t="n">
        <v>-6</v>
      </c>
      <c r="F6" s="13" t="n">
        <v>-9</v>
      </c>
      <c r="G6" s="13" t="n">
        <v>-13</v>
      </c>
      <c r="H6" s="13" t="n">
        <v>4</v>
      </c>
      <c r="I6" s="13" t="n">
        <v>6</v>
      </c>
      <c r="J6" s="13" t="n">
        <v>9</v>
      </c>
      <c r="K6" s="14" t="n">
        <v>3</v>
      </c>
    </row>
    <row r="7" customFormat="false" ht="15" hidden="false" customHeight="true" outlineLevel="0" collapsed="false">
      <c r="A7" s="10" t="s">
        <v>38</v>
      </c>
      <c r="B7" s="11" t="s">
        <v>39</v>
      </c>
      <c r="C7" s="12" t="n">
        <v>1.5</v>
      </c>
      <c r="D7" s="12" t="n">
        <v>11</v>
      </c>
      <c r="E7" s="13" t="n">
        <v>-7</v>
      </c>
      <c r="F7" s="13" t="n">
        <v>-11</v>
      </c>
      <c r="G7" s="13" t="n">
        <v>-15</v>
      </c>
      <c r="H7" s="13" t="n">
        <v>5</v>
      </c>
      <c r="I7" s="13" t="n">
        <v>7</v>
      </c>
      <c r="J7" s="13" t="n">
        <v>11</v>
      </c>
      <c r="K7" s="14" t="n">
        <v>3</v>
      </c>
    </row>
    <row r="8" customFormat="false" ht="15" hidden="false" customHeight="true" outlineLevel="0" collapsed="false">
      <c r="A8" s="10" t="s">
        <v>40</v>
      </c>
      <c r="B8" s="11" t="s">
        <v>41</v>
      </c>
      <c r="C8" s="12" t="n">
        <v>2.5</v>
      </c>
      <c r="D8" s="12" t="n">
        <v>16</v>
      </c>
      <c r="E8" s="13" t="n">
        <v>-10</v>
      </c>
      <c r="F8" s="13" t="n">
        <v>-15</v>
      </c>
      <c r="G8" s="13" t="n">
        <v>-20</v>
      </c>
      <c r="H8" s="13" t="n">
        <v>6</v>
      </c>
      <c r="I8" s="13" t="n">
        <v>10</v>
      </c>
      <c r="J8" s="13" t="n">
        <v>15</v>
      </c>
      <c r="K8" s="14" t="n">
        <v>3</v>
      </c>
    </row>
    <row r="9" customFormat="false" ht="15" hidden="false" customHeight="true" outlineLevel="0" collapsed="false">
      <c r="A9" s="10" t="s">
        <v>42</v>
      </c>
      <c r="B9" s="11" t="s">
        <v>41</v>
      </c>
      <c r="C9" s="12" t="n">
        <v>3.5</v>
      </c>
      <c r="D9" s="12" t="n">
        <v>22</v>
      </c>
      <c r="E9" s="13" t="n">
        <v>-15</v>
      </c>
      <c r="F9" s="13" t="n">
        <v>-22</v>
      </c>
      <c r="G9" s="13" t="n">
        <v>-30</v>
      </c>
      <c r="H9" s="13" t="n">
        <v>8</v>
      </c>
      <c r="I9" s="13" t="n">
        <v>13</v>
      </c>
      <c r="J9" s="13" t="n">
        <v>20</v>
      </c>
      <c r="K9" s="14" t="n">
        <v>3</v>
      </c>
    </row>
    <row r="11" customFormat="false" ht="16.5" hidden="false" customHeight="true" outlineLevel="0" collapsed="false">
      <c r="A11" s="15" t="s">
        <v>43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customFormat="false" ht="16.5" hidden="false" customHeight="true" outlineLevel="0" collapsed="false">
      <c r="A12" s="16" t="s">
        <v>44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customFormat="false" ht="16.5" hidden="false" customHeight="true" outlineLevel="0" collapsed="false">
      <c r="A13" s="16" t="s">
        <v>45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customFormat="false" ht="16.5" hidden="false" customHeight="true" outlineLevel="0" collapsed="false">
      <c r="A14" s="16" t="s">
        <v>46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customFormat="false" ht="16.5" hidden="false" customHeight="true" outlineLevel="0" collapsed="false">
      <c r="A15" s="16" t="s">
        <v>47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16.5" hidden="false" customHeight="true" outlineLevel="0" collapsed="false">
      <c r="A16" s="16" t="s">
        <v>48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customFormat="false" ht="1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customFormat="false" ht="16.5" hidden="false" customHeight="true" outlineLevel="0" collapsed="false">
      <c r="A18" s="15" t="s">
        <v>49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6.5" hidden="false" customHeight="true" outlineLevel="0" collapsed="false">
      <c r="A19" s="17" t="s">
        <v>50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6.5" hidden="false" customHeight="true" outlineLevel="0" collapsed="false">
      <c r="A20" s="16" t="s">
        <v>51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customFormat="false" ht="16.5" hidden="false" customHeight="true" outlineLevel="0" collapsed="false">
      <c r="A21" s="16" t="s">
        <v>52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customFormat="false" ht="16.5" hidden="false" customHeight="true" outlineLevel="0" collapsed="false">
      <c r="A22" s="16" t="s">
        <v>53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</sheetData>
  <mergeCells count="13">
    <mergeCell ref="A1:K1"/>
    <mergeCell ref="A11:K11"/>
    <mergeCell ref="A12:K12"/>
    <mergeCell ref="A13:K13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14"/>
  </cols>
  <sheetData>
    <row r="1" customFormat="false" ht="19.5" hidden="false" customHeight="true" outlineLevel="0" collapsed="false">
      <c r="A1" s="8" t="s">
        <v>54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6.5" hidden="false" customHeight="true" outlineLevel="0" collapsed="false">
      <c r="A2" s="18" t="s">
        <v>55</v>
      </c>
      <c r="B2" s="18"/>
      <c r="C2" s="18"/>
      <c r="D2" s="18"/>
      <c r="E2" s="18"/>
      <c r="F2" s="18"/>
      <c r="G2" s="18"/>
      <c r="H2" s="18"/>
      <c r="I2" s="18"/>
      <c r="J2" s="18"/>
    </row>
    <row r="4" customFormat="false" ht="30" hidden="false" customHeight="true" outlineLevel="0" collapsed="false">
      <c r="A4" s="19" t="s">
        <v>23</v>
      </c>
      <c r="B4" s="20" t="s">
        <v>56</v>
      </c>
      <c r="C4" s="19" t="s">
        <v>57</v>
      </c>
      <c r="D4" s="19" t="s">
        <v>58</v>
      </c>
      <c r="E4" s="19" t="s">
        <v>59</v>
      </c>
      <c r="F4" s="19" t="s">
        <v>60</v>
      </c>
      <c r="G4" s="20" t="s">
        <v>61</v>
      </c>
    </row>
    <row r="5" customFormat="false" ht="32.25" hidden="false" customHeight="true" outlineLevel="0" collapsed="false">
      <c r="A5" s="21" t="s">
        <v>34</v>
      </c>
      <c r="B5" s="22" t="n">
        <v>-8</v>
      </c>
      <c r="C5" s="23" t="s">
        <v>62</v>
      </c>
      <c r="D5" s="24" t="s">
        <v>63</v>
      </c>
      <c r="E5" s="23" t="s">
        <v>64</v>
      </c>
      <c r="F5" s="23" t="s">
        <v>65</v>
      </c>
      <c r="G5" s="23" t="s">
        <v>66</v>
      </c>
    </row>
    <row r="6" customFormat="false" ht="29.25" hidden="false" customHeight="true" outlineLevel="0" collapsed="false">
      <c r="A6" s="21" t="s">
        <v>36</v>
      </c>
      <c r="B6" s="22" t="n">
        <v>-9</v>
      </c>
      <c r="C6" s="23" t="s">
        <v>67</v>
      </c>
      <c r="D6" s="24" t="s">
        <v>68</v>
      </c>
      <c r="E6" s="24" t="s">
        <v>69</v>
      </c>
      <c r="F6" s="24" t="s">
        <v>70</v>
      </c>
      <c r="G6" s="23" t="s">
        <v>71</v>
      </c>
    </row>
    <row r="7" customFormat="false" ht="32.25" hidden="false" customHeight="true" outlineLevel="0" collapsed="false">
      <c r="A7" s="21" t="s">
        <v>37</v>
      </c>
      <c r="B7" s="22" t="n">
        <v>-9</v>
      </c>
      <c r="C7" s="23" t="s">
        <v>67</v>
      </c>
      <c r="D7" s="23" t="s">
        <v>72</v>
      </c>
      <c r="E7" s="23" t="s">
        <v>73</v>
      </c>
      <c r="F7" s="23" t="s">
        <v>73</v>
      </c>
      <c r="G7" s="23" t="s">
        <v>71</v>
      </c>
    </row>
    <row r="8" customFormat="false" ht="32.25" hidden="false" customHeight="true" outlineLevel="0" collapsed="false">
      <c r="A8" s="21" t="s">
        <v>38</v>
      </c>
      <c r="B8" s="22" t="n">
        <v>-11</v>
      </c>
      <c r="C8" s="23" t="s">
        <v>74</v>
      </c>
      <c r="D8" s="23" t="s">
        <v>75</v>
      </c>
      <c r="E8" s="23" t="s">
        <v>76</v>
      </c>
      <c r="F8" s="23" t="s">
        <v>77</v>
      </c>
      <c r="G8" s="24" t="s">
        <v>78</v>
      </c>
    </row>
    <row r="9" customFormat="false" ht="32.25" hidden="false" customHeight="true" outlineLevel="0" collapsed="false">
      <c r="A9" s="21" t="s">
        <v>40</v>
      </c>
      <c r="B9" s="22" t="n">
        <v>-15</v>
      </c>
      <c r="C9" s="23" t="s">
        <v>79</v>
      </c>
      <c r="D9" s="24" t="s">
        <v>80</v>
      </c>
      <c r="E9" s="23" t="s">
        <v>81</v>
      </c>
      <c r="F9" s="23" t="s">
        <v>82</v>
      </c>
      <c r="G9" s="23" t="s">
        <v>83</v>
      </c>
    </row>
    <row r="10" customFormat="false" ht="42" hidden="false" customHeight="true" outlineLevel="0" collapsed="false">
      <c r="A10" s="21" t="s">
        <v>42</v>
      </c>
      <c r="B10" s="22" t="n">
        <v>-22</v>
      </c>
      <c r="C10" s="23" t="s">
        <v>84</v>
      </c>
      <c r="D10" s="24" t="s">
        <v>85</v>
      </c>
      <c r="E10" s="23" t="s">
        <v>86</v>
      </c>
      <c r="F10" s="24" t="s">
        <v>87</v>
      </c>
      <c r="G10" s="23" t="s">
        <v>71</v>
      </c>
    </row>
    <row r="13" customFormat="false" ht="19.5" hidden="false" customHeight="true" outlineLevel="0" collapsed="false">
      <c r="A13" s="8" t="s">
        <v>88</v>
      </c>
      <c r="B13" s="8"/>
      <c r="C13" s="8"/>
      <c r="D13" s="8"/>
      <c r="E13" s="8"/>
      <c r="F13" s="8"/>
      <c r="G13" s="8"/>
      <c r="H13" s="8"/>
      <c r="I13" s="8"/>
      <c r="J13" s="8"/>
    </row>
    <row r="15" customFormat="false" ht="30" hidden="false" customHeight="true" outlineLevel="0" collapsed="false">
      <c r="A15" s="19" t="s">
        <v>23</v>
      </c>
      <c r="B15" s="20" t="s">
        <v>89</v>
      </c>
      <c r="C15" s="19" t="s">
        <v>57</v>
      </c>
      <c r="D15" s="19" t="s">
        <v>58</v>
      </c>
      <c r="E15" s="19" t="s">
        <v>59</v>
      </c>
      <c r="F15" s="19" t="s">
        <v>60</v>
      </c>
      <c r="G15" s="20" t="s">
        <v>61</v>
      </c>
    </row>
    <row r="16" customFormat="false" ht="29.25" hidden="false" customHeight="true" outlineLevel="0" collapsed="false">
      <c r="A16" s="21" t="s">
        <v>34</v>
      </c>
      <c r="B16" s="22" t="n">
        <v>5</v>
      </c>
      <c r="C16" s="23" t="s">
        <v>90</v>
      </c>
      <c r="D16" s="24" t="s">
        <v>91</v>
      </c>
      <c r="E16" s="23" t="s">
        <v>92</v>
      </c>
      <c r="F16" s="24" t="s">
        <v>93</v>
      </c>
      <c r="G16" s="23" t="s">
        <v>71</v>
      </c>
    </row>
    <row r="17" customFormat="false" ht="29.25" hidden="false" customHeight="true" outlineLevel="0" collapsed="false">
      <c r="A17" s="21" t="s">
        <v>36</v>
      </c>
      <c r="B17" s="22" t="n">
        <v>6</v>
      </c>
      <c r="C17" s="23" t="s">
        <v>90</v>
      </c>
      <c r="D17" s="24" t="s">
        <v>94</v>
      </c>
      <c r="E17" s="23" t="s">
        <v>95</v>
      </c>
      <c r="F17" s="23" t="s">
        <v>96</v>
      </c>
      <c r="G17" s="23" t="s">
        <v>71</v>
      </c>
    </row>
    <row r="18" customFormat="false" ht="16.5" hidden="false" customHeight="true" outlineLevel="0" collapsed="false">
      <c r="A18" s="21" t="s">
        <v>37</v>
      </c>
      <c r="B18" s="22" t="n">
        <v>6</v>
      </c>
      <c r="C18" s="23" t="s">
        <v>73</v>
      </c>
      <c r="D18" s="23" t="s">
        <v>73</v>
      </c>
      <c r="E18" s="23" t="s">
        <v>73</v>
      </c>
      <c r="F18" s="23" t="s">
        <v>73</v>
      </c>
      <c r="G18" s="23" t="s">
        <v>71</v>
      </c>
    </row>
    <row r="19" customFormat="false" ht="32.25" hidden="false" customHeight="true" outlineLevel="0" collapsed="false">
      <c r="A19" s="21" t="s">
        <v>38</v>
      </c>
      <c r="B19" s="22" t="n">
        <v>7</v>
      </c>
      <c r="C19" s="24" t="s">
        <v>97</v>
      </c>
      <c r="D19" s="24" t="s">
        <v>98</v>
      </c>
      <c r="E19" s="23" t="s">
        <v>99</v>
      </c>
      <c r="F19" s="23" t="s">
        <v>100</v>
      </c>
      <c r="G19" s="24" t="s">
        <v>101</v>
      </c>
    </row>
    <row r="20" customFormat="false" ht="32.25" hidden="false" customHeight="true" outlineLevel="0" collapsed="false">
      <c r="A20" s="21" t="s">
        <v>40</v>
      </c>
      <c r="B20" s="22" t="n">
        <v>10</v>
      </c>
      <c r="C20" s="24" t="s">
        <v>102</v>
      </c>
      <c r="D20" s="24" t="s">
        <v>103</v>
      </c>
      <c r="E20" s="23" t="s">
        <v>104</v>
      </c>
      <c r="F20" s="23" t="s">
        <v>104</v>
      </c>
      <c r="G20" s="23" t="s">
        <v>71</v>
      </c>
    </row>
    <row r="21" customFormat="false" ht="32.25" hidden="false" customHeight="true" outlineLevel="0" collapsed="false">
      <c r="A21" s="21" t="s">
        <v>42</v>
      </c>
      <c r="B21" s="22" t="n">
        <v>13</v>
      </c>
      <c r="C21" s="24" t="s">
        <v>105</v>
      </c>
      <c r="D21" s="24" t="s">
        <v>106</v>
      </c>
      <c r="E21" s="23" t="s">
        <v>104</v>
      </c>
      <c r="F21" s="23" t="s">
        <v>104</v>
      </c>
      <c r="G21" s="23" t="s">
        <v>107</v>
      </c>
    </row>
  </sheetData>
  <mergeCells count="3">
    <mergeCell ref="A1:J1"/>
    <mergeCell ref="A2:J2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5" t="s">
        <v>108</v>
      </c>
    </row>
    <row r="2" customFormat="false" ht="15" hidden="false" customHeight="true" outlineLevel="0" collapsed="false">
      <c r="A2" s="3"/>
    </row>
    <row r="3" customFormat="false" ht="16.5" hidden="false" customHeight="true" outlineLevel="0" collapsed="false">
      <c r="A3" s="4" t="s">
        <v>109</v>
      </c>
    </row>
    <row r="4" customFormat="false" ht="15" hidden="false" customHeight="true" outlineLevel="0" collapsed="false">
      <c r="A4" s="3"/>
    </row>
    <row r="5" customFormat="false" ht="18.75" hidden="false" customHeight="true" outlineLevel="0" collapsed="false">
      <c r="A5" s="26" t="s">
        <v>110</v>
      </c>
    </row>
    <row r="6" customFormat="false" ht="16.5" hidden="false" customHeight="true" outlineLevel="0" collapsed="false">
      <c r="A6" s="4" t="s">
        <v>111</v>
      </c>
    </row>
    <row r="7" customFormat="false" ht="16.5" hidden="false" customHeight="true" outlineLevel="0" collapsed="false">
      <c r="A7" s="4" t="s">
        <v>112</v>
      </c>
    </row>
    <row r="8" customFormat="false" ht="16.5" hidden="false" customHeight="true" outlineLevel="0" collapsed="false">
      <c r="A8" s="4" t="s">
        <v>113</v>
      </c>
    </row>
    <row r="9" customFormat="false" ht="15" hidden="false" customHeight="true" outlineLevel="0" collapsed="false">
      <c r="A9" s="3"/>
    </row>
    <row r="10" customFormat="false" ht="18.75" hidden="false" customHeight="true" outlineLevel="0" collapsed="false">
      <c r="A10" s="26" t="s">
        <v>114</v>
      </c>
    </row>
    <row r="11" customFormat="false" ht="16.5" hidden="false" customHeight="true" outlineLevel="0" collapsed="false">
      <c r="A11" s="4" t="s">
        <v>115</v>
      </c>
    </row>
    <row r="12" customFormat="false" ht="16.5" hidden="false" customHeight="true" outlineLevel="0" collapsed="false">
      <c r="A12" s="4" t="s">
        <v>116</v>
      </c>
    </row>
    <row r="13" customFormat="false" ht="16.5" hidden="false" customHeight="true" outlineLevel="0" collapsed="false">
      <c r="A13" s="4" t="s">
        <v>117</v>
      </c>
    </row>
    <row r="14" customFormat="false" ht="15" hidden="false" customHeight="true" outlineLevel="0" collapsed="false">
      <c r="A14" s="3"/>
    </row>
    <row r="15" customFormat="false" ht="18.75" hidden="false" customHeight="true" outlineLevel="0" collapsed="false">
      <c r="A15" s="27" t="s">
        <v>118</v>
      </c>
    </row>
    <row r="16" customFormat="false" ht="16.5" hidden="false" customHeight="true" outlineLevel="0" collapsed="false">
      <c r="A16" s="4" t="s">
        <v>119</v>
      </c>
    </row>
    <row r="17" customFormat="false" ht="16.5" hidden="false" customHeight="true" outlineLevel="0" collapsed="false">
      <c r="A17" s="4" t="s">
        <v>120</v>
      </c>
    </row>
    <row r="18" customFormat="false" ht="16.5" hidden="false" customHeight="true" outlineLevel="0" collapsed="false">
      <c r="A18" s="4" t="s">
        <v>121</v>
      </c>
    </row>
    <row r="19" customFormat="false" ht="15" hidden="false" customHeight="true" outlineLevel="0" collapsed="false">
      <c r="A19" s="3"/>
    </row>
    <row r="20" customFormat="false" ht="18.75" hidden="false" customHeight="true" outlineLevel="0" collapsed="false">
      <c r="A20" s="26" t="s">
        <v>122</v>
      </c>
    </row>
    <row r="21" customFormat="false" ht="16.5" hidden="false" customHeight="true" outlineLevel="0" collapsed="false">
      <c r="A21" s="4" t="s">
        <v>123</v>
      </c>
    </row>
    <row r="22" customFormat="false" ht="16.5" hidden="false" customHeight="true" outlineLevel="0" collapsed="false">
      <c r="A22" s="4" t="s">
        <v>124</v>
      </c>
    </row>
    <row r="23" customFormat="false" ht="16.5" hidden="false" customHeight="true" outlineLevel="0" collapsed="false">
      <c r="A23" s="4" t="s">
        <v>125</v>
      </c>
    </row>
    <row r="24" customFormat="false" ht="15" hidden="false" customHeight="true" outlineLevel="0" collapsed="false">
      <c r="A24" s="3"/>
    </row>
    <row r="25" customFormat="false" ht="18.75" hidden="false" customHeight="true" outlineLevel="0" collapsed="false">
      <c r="A25" s="28" t="s">
        <v>126</v>
      </c>
    </row>
    <row r="26" customFormat="false" ht="16.5" hidden="false" customHeight="true" outlineLevel="0" collapsed="false">
      <c r="A26" s="4" t="s">
        <v>127</v>
      </c>
    </row>
    <row r="27" customFormat="false" ht="16.5" hidden="false" customHeight="true" outlineLevel="0" collapsed="false">
      <c r="A27" s="4" t="s">
        <v>128</v>
      </c>
    </row>
    <row r="28" customFormat="false" ht="16.5" hidden="false" customHeight="true" outlineLevel="0" collapsed="false">
      <c r="A28" s="4" t="s">
        <v>129</v>
      </c>
    </row>
    <row r="29" customFormat="false" ht="15" hidden="false" customHeight="true" outlineLevel="0" collapsed="false">
      <c r="A29" s="3"/>
    </row>
    <row r="30" customFormat="false" ht="18.75" hidden="false" customHeight="true" outlineLevel="0" collapsed="false">
      <c r="A30" s="5" t="s">
        <v>130</v>
      </c>
    </row>
    <row r="31" customFormat="false" ht="16.5" hidden="false" customHeight="true" outlineLevel="0" collapsed="false">
      <c r="A31" s="4" t="s">
        <v>131</v>
      </c>
    </row>
    <row r="32" customFormat="false" ht="16.5" hidden="false" customHeight="true" outlineLevel="0" collapsed="false">
      <c r="A32" s="4" t="s">
        <v>132</v>
      </c>
    </row>
    <row r="33" customFormat="false" ht="16.5" hidden="false" customHeight="true" outlineLevel="0" collapsed="false">
      <c r="A33" s="4" t="s">
        <v>133</v>
      </c>
    </row>
    <row r="34" customFormat="false" ht="16.5" hidden="false" customHeight="true" outlineLevel="0" collapsed="false">
      <c r="A34" s="4" t="s">
        <v>134</v>
      </c>
    </row>
    <row r="35" customFormat="false" ht="15" hidden="false" customHeight="true" outlineLevel="0" collapsed="false">
      <c r="A35" s="3"/>
    </row>
    <row r="36" customFormat="false" ht="18.75" hidden="false" customHeight="true" outlineLevel="0" collapsed="false">
      <c r="A36" s="5" t="s">
        <v>135</v>
      </c>
    </row>
    <row r="37" customFormat="false" ht="16.5" hidden="false" customHeight="true" outlineLevel="0" collapsed="false">
      <c r="A37" s="3" t="s">
        <v>136</v>
      </c>
    </row>
    <row r="38" customFormat="false" ht="16.5" hidden="false" customHeight="true" outlineLevel="0" collapsed="false">
      <c r="A38" s="3" t="s">
        <v>137</v>
      </c>
    </row>
    <row r="39" customFormat="false" ht="15" hidden="false" customHeight="true" outlineLevel="0" collapsed="false">
      <c r="A39" s="3" t="s">
        <v>138</v>
      </c>
    </row>
    <row r="40" customFormat="false" ht="16.5" hidden="false" customHeight="true" outlineLevel="0" collapsed="false">
      <c r="A40" s="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8" min="2" style="1" width="16"/>
  </cols>
  <sheetData>
    <row r="1" customFormat="false" ht="19.5" hidden="false" customHeight="true" outlineLevel="0" collapsed="false">
      <c r="A1" s="8" t="s">
        <v>140</v>
      </c>
      <c r="B1" s="8"/>
      <c r="C1" s="8"/>
      <c r="D1" s="8"/>
      <c r="E1" s="8"/>
      <c r="F1" s="8"/>
      <c r="G1" s="8"/>
      <c r="H1" s="8"/>
    </row>
    <row r="3" customFormat="false" ht="30" hidden="false" customHeight="true" outlineLevel="0" collapsed="false">
      <c r="A3" s="9" t="s">
        <v>23</v>
      </c>
      <c r="B3" s="9" t="s">
        <v>141</v>
      </c>
      <c r="C3" s="9" t="s">
        <v>142</v>
      </c>
      <c r="D3" s="9" t="s">
        <v>143</v>
      </c>
      <c r="E3" s="9" t="s">
        <v>144</v>
      </c>
      <c r="F3" s="9" t="s">
        <v>145</v>
      </c>
      <c r="G3" s="9" t="s">
        <v>146</v>
      </c>
      <c r="H3" s="9" t="s">
        <v>147</v>
      </c>
    </row>
    <row r="4" customFormat="false" ht="16.5" hidden="false" customHeight="true" outlineLevel="0" collapsed="false">
      <c r="A4" s="10" t="s">
        <v>34</v>
      </c>
      <c r="B4" s="29" t="n">
        <v>2</v>
      </c>
      <c r="C4" s="29" t="n">
        <v>2.2</v>
      </c>
      <c r="D4" s="29" t="n">
        <v>-12</v>
      </c>
      <c r="E4" s="29" t="n">
        <v>14</v>
      </c>
      <c r="F4" s="29" t="n">
        <v>3.5</v>
      </c>
      <c r="G4" s="29" t="n">
        <v>5.5</v>
      </c>
      <c r="H4" s="30" t="s">
        <v>148</v>
      </c>
    </row>
    <row r="5" customFormat="false" ht="16.5" hidden="false" customHeight="true" outlineLevel="0" collapsed="false">
      <c r="A5" s="10" t="s">
        <v>36</v>
      </c>
      <c r="B5" s="29" t="n">
        <v>2.5</v>
      </c>
      <c r="C5" s="29" t="n">
        <v>2.7</v>
      </c>
      <c r="D5" s="29" t="n">
        <v>-14</v>
      </c>
      <c r="E5" s="29" t="n">
        <v>15</v>
      </c>
      <c r="F5" s="29" t="n">
        <v>4</v>
      </c>
      <c r="G5" s="29" t="n">
        <v>6.5</v>
      </c>
      <c r="H5" s="11" t="s">
        <v>149</v>
      </c>
    </row>
    <row r="6" customFormat="false" ht="16.5" hidden="false" customHeight="true" outlineLevel="0" collapsed="false">
      <c r="A6" s="10" t="s">
        <v>37</v>
      </c>
      <c r="B6" s="29" t="n">
        <v>2.5</v>
      </c>
      <c r="C6" s="29" t="n">
        <v>2.7</v>
      </c>
      <c r="D6" s="29" t="n">
        <v>-14</v>
      </c>
      <c r="E6" s="29" t="n">
        <v>16</v>
      </c>
      <c r="F6" s="29" t="n">
        <v>4</v>
      </c>
      <c r="G6" s="29" t="n">
        <v>6.5</v>
      </c>
      <c r="H6" s="11" t="s">
        <v>150</v>
      </c>
    </row>
    <row r="7" customFormat="false" ht="16.5" hidden="false" customHeight="true" outlineLevel="0" collapsed="false">
      <c r="A7" s="10" t="s">
        <v>38</v>
      </c>
      <c r="B7" s="29" t="n">
        <v>3.2</v>
      </c>
      <c r="C7" s="29" t="n">
        <v>3.3</v>
      </c>
      <c r="D7" s="29" t="n">
        <v>-16</v>
      </c>
      <c r="E7" s="29" t="n">
        <v>22</v>
      </c>
      <c r="F7" s="29" t="n">
        <v>5.5</v>
      </c>
      <c r="G7" s="29" t="n">
        <v>9</v>
      </c>
      <c r="H7" s="11" t="s">
        <v>151</v>
      </c>
    </row>
    <row r="8" customFormat="false" ht="16.5" hidden="false" customHeight="true" outlineLevel="0" collapsed="false">
      <c r="A8" s="10" t="s">
        <v>40</v>
      </c>
      <c r="B8" s="29" t="n">
        <v>4.5</v>
      </c>
      <c r="C8" s="29" t="n">
        <v>4.5</v>
      </c>
      <c r="D8" s="29" t="n">
        <v>-22</v>
      </c>
      <c r="E8" s="29" t="n">
        <v>28</v>
      </c>
      <c r="F8" s="29" t="n">
        <v>7.5</v>
      </c>
      <c r="G8" s="29" t="n">
        <v>12</v>
      </c>
      <c r="H8" s="11" t="s">
        <v>152</v>
      </c>
    </row>
    <row r="9" customFormat="false" ht="16.5" hidden="false" customHeight="true" outlineLevel="0" collapsed="false">
      <c r="A9" s="10" t="s">
        <v>42</v>
      </c>
      <c r="B9" s="29" t="n">
        <v>7</v>
      </c>
      <c r="C9" s="29" t="n">
        <v>7</v>
      </c>
      <c r="D9" s="29" t="n">
        <v>-32</v>
      </c>
      <c r="E9" s="29" t="n">
        <v>40</v>
      </c>
      <c r="F9" s="29" t="n">
        <v>11</v>
      </c>
      <c r="G9" s="29" t="n">
        <v>18</v>
      </c>
      <c r="H9" s="11" t="s">
        <v>153</v>
      </c>
    </row>
    <row r="11" customFormat="false" ht="16.5" hidden="false" customHeight="true" outlineLevel="0" collapsed="false">
      <c r="A11" s="31" t="s">
        <v>154</v>
      </c>
      <c r="B11" s="31"/>
      <c r="C11" s="31"/>
      <c r="D11" s="31"/>
      <c r="E11" s="31"/>
      <c r="F11" s="31"/>
      <c r="G11" s="31"/>
      <c r="H11" s="31"/>
    </row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4"/>
  </cols>
  <sheetData>
    <row r="1" customFormat="false" ht="19.5" hidden="false" customHeight="true" outlineLevel="0" collapsed="false">
      <c r="A1" s="8" t="s">
        <v>155</v>
      </c>
      <c r="B1" s="8"/>
      <c r="C1" s="8"/>
      <c r="D1" s="8"/>
      <c r="E1" s="8"/>
      <c r="F1" s="8"/>
      <c r="G1" s="8"/>
      <c r="H1" s="8"/>
      <c r="I1" s="8"/>
    </row>
    <row r="3" customFormat="false" ht="15" hidden="false" customHeight="true" outlineLevel="0" collapsed="false">
      <c r="A3" s="32" t="s">
        <v>23</v>
      </c>
      <c r="B3" s="32" t="s">
        <v>156</v>
      </c>
      <c r="C3" s="32" t="s">
        <v>157</v>
      </c>
      <c r="D3" s="32" t="s">
        <v>158</v>
      </c>
      <c r="E3" s="32" t="s">
        <v>159</v>
      </c>
      <c r="F3" s="32" t="s">
        <v>160</v>
      </c>
      <c r="G3" s="32" t="s">
        <v>161</v>
      </c>
      <c r="H3" s="32" t="s">
        <v>162</v>
      </c>
      <c r="I3" s="32" t="s">
        <v>163</v>
      </c>
    </row>
    <row r="4" customFormat="false" ht="15" hidden="false" customHeight="true" outlineLevel="0" collapsed="false">
      <c r="A4" s="10" t="s">
        <v>36</v>
      </c>
      <c r="B4" s="33"/>
      <c r="C4" s="33"/>
      <c r="D4" s="34"/>
      <c r="E4" s="34"/>
      <c r="F4" s="34"/>
      <c r="G4" s="34"/>
      <c r="H4" s="34"/>
      <c r="I4" s="35" t="n">
        <f aca="false">IFERROR(D4*C4-H4,"")</f>
        <v>0</v>
      </c>
    </row>
    <row r="5" customFormat="false" ht="15" hidden="false" customHeight="true" outlineLevel="0" collapsed="false">
      <c r="A5" s="10" t="s">
        <v>37</v>
      </c>
      <c r="B5" s="33"/>
      <c r="C5" s="33"/>
      <c r="D5" s="34"/>
      <c r="E5" s="34"/>
      <c r="F5" s="34"/>
      <c r="G5" s="34"/>
      <c r="H5" s="34"/>
      <c r="I5" s="35" t="n">
        <f aca="false">IFERROR(D5*C5-H5,"")</f>
        <v>0</v>
      </c>
    </row>
    <row r="6" customFormat="false" ht="15" hidden="false" customHeight="true" outlineLevel="0" collapsed="false">
      <c r="A6" s="10" t="s">
        <v>34</v>
      </c>
      <c r="B6" s="33"/>
      <c r="C6" s="33"/>
      <c r="D6" s="34"/>
      <c r="E6" s="34"/>
      <c r="F6" s="34"/>
      <c r="G6" s="34"/>
      <c r="H6" s="34"/>
      <c r="I6" s="35" t="n">
        <f aca="false">IFERROR(D6*C6-H6,"")</f>
        <v>0</v>
      </c>
    </row>
    <row r="7" customFormat="false" ht="15" hidden="false" customHeight="true" outlineLevel="0" collapsed="false">
      <c r="A7" s="10" t="s">
        <v>38</v>
      </c>
      <c r="B7" s="33"/>
      <c r="C7" s="33"/>
      <c r="D7" s="34"/>
      <c r="E7" s="34"/>
      <c r="F7" s="34"/>
      <c r="G7" s="34"/>
      <c r="H7" s="34"/>
      <c r="I7" s="35" t="n">
        <f aca="false">IFERROR(D7*C7-H7,"")</f>
        <v>0</v>
      </c>
    </row>
    <row r="8" customFormat="false" ht="15" hidden="false" customHeight="true" outlineLevel="0" collapsed="false">
      <c r="A8" s="10" t="s">
        <v>42</v>
      </c>
      <c r="B8" s="33"/>
      <c r="C8" s="33"/>
      <c r="D8" s="34"/>
      <c r="E8" s="34"/>
      <c r="F8" s="34"/>
      <c r="G8" s="34"/>
      <c r="H8" s="34"/>
      <c r="I8" s="35" t="n">
        <f aca="false">IFERROR(D8*C8-H8,"")</f>
        <v>0</v>
      </c>
    </row>
    <row r="9" customFormat="false" ht="15" hidden="false" customHeight="true" outlineLevel="0" collapsed="false">
      <c r="A9" s="10" t="s">
        <v>40</v>
      </c>
      <c r="B9" s="33"/>
      <c r="C9" s="33"/>
      <c r="D9" s="34"/>
      <c r="E9" s="34"/>
      <c r="F9" s="34"/>
      <c r="G9" s="34"/>
      <c r="H9" s="34"/>
      <c r="I9" s="35" t="n">
        <f aca="false">IFERROR(D9*C9-H9,"")</f>
        <v>0</v>
      </c>
    </row>
    <row r="12" customFormat="false" ht="15" hidden="false" customHeight="true" outlineLevel="0" collapsed="false">
      <c r="A12" s="36" t="s">
        <v>164</v>
      </c>
      <c r="B12" s="10" t="n">
        <f aca="false">IFERROR(SUM(B4:B9),0)</f>
        <v>0</v>
      </c>
      <c r="C12" s="10" t="n">
        <f aca="false">IFERROR(SUM(C4:C9),0)</f>
        <v>0</v>
      </c>
      <c r="D12" s="37" t="str">
        <f aca="false">IFERROR(AVERAGE(D4:D9),"")</f>
        <v/>
      </c>
      <c r="E12" s="37" t="str">
        <f aca="false">IFERROR(AVERAGE(E4:E9),"")</f>
        <v/>
      </c>
      <c r="F12" s="37" t="str">
        <f aca="false">IFERROR(AVERAGE(F4:F9),"")</f>
        <v/>
      </c>
      <c r="G12" s="37" t="str">
        <f aca="false">IFERROR(AVERAGE(G4:G9),"")</f>
        <v/>
      </c>
      <c r="H12" s="37" t="str">
        <f aca="false">IFERROR(AVERAGE(H4:H9),"")</f>
        <v/>
      </c>
      <c r="I12" s="37" t="n">
        <f aca="false">IFERROR(AVERAGE(I4:I9),"")</f>
        <v>0</v>
      </c>
    </row>
    <row r="14" customFormat="false" ht="16.5" hidden="false" customHeight="true" outlineLevel="0" collapsed="false">
      <c r="A14" s="38" t="s">
        <v>165</v>
      </c>
    </row>
    <row r="15" customFormat="false" ht="16.5" hidden="false" customHeight="true" outlineLevel="0" collapsed="false">
      <c r="A15" s="39" t="str">
        <f aca="false">IFERROR(IF(I12="","(데이터 입력 후 자동 갱신)",IF(I12&gt;0,"전략이 B&amp;H 대비 우수 (+"&amp;ROUND(I12,1)&amp;"%p)","전략이 B&amp;H 대비 열위 ("&amp;ROUND(I12,1)&amp;"%p)")),"(데이터 입력 후 자동 갱신)")</f>
        <v>전략이 B&amp;H 대비 열위 (0%p)</v>
      </c>
      <c r="B15" s="39"/>
      <c r="C15" s="39"/>
      <c r="D15" s="39"/>
      <c r="E15" s="39"/>
      <c r="F15" s="39"/>
      <c r="G15" s="39"/>
      <c r="H15" s="39"/>
      <c r="I15" s="39"/>
    </row>
    <row r="16" customFormat="false" ht="15" hidden="false" customHeight="true" outlineLevel="0" collapsed="false">
      <c r="A16" s="39" t="str">
        <f aca="false">IFERROR(IF(E12="","(Win rate 데이터 입력 시 분석)",IF(E12&lt;45,"⚠ 평균 win rate &lt; 45% — stop_alert 깊게 조정 권고","✓ Win rate 양호")),"(Win rate 데이터 입력 시 분석)")</f>
        <v>(Win rate 데이터 입력 시 분석)</v>
      </c>
      <c r="B16" s="39"/>
      <c r="C16" s="39"/>
      <c r="D16" s="39"/>
      <c r="E16" s="39"/>
      <c r="F16" s="39"/>
      <c r="G16" s="39"/>
      <c r="H16" s="39"/>
      <c r="I16" s="39"/>
    </row>
  </sheetData>
  <mergeCells count="3">
    <mergeCell ref="A1:I1"/>
    <mergeCell ref="A15:I15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2026-05-09T02:58:57Z</dcterms:created>
  <dc:creator>openpyxl</dc:creator>
  <dc:description/>
  <dc:language>en-US</dc:language>
  <cp:lastModifiedBy/>
  <dcterms:modified xsi:type="dcterms:W3CDTF">2026-05-09T02:59:17Z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